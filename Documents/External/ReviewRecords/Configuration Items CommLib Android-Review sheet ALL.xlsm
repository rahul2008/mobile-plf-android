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502" codeName="{7A2D7E96-6E34-419A-AE5F-296B3A7E7977}"/>
  <workbookPr codeName="ThisWorkbook"/>
  <mc:AlternateContent xmlns:mc="http://schemas.openxmlformats.org/markup-compatibility/2006">
    <mc:Choice Requires="x15">
      <x15ac:absPath xmlns:x15ac="http://schemas.microsoft.com/office/spreadsheetml/2010/11/ac" url="/Users/310228256/dev/commlib-workspace/Source/commlib/Documents/External/ReviewRecords/"/>
    </mc:Choice>
  </mc:AlternateContent>
  <bookViews>
    <workbookView xWindow="0" yWindow="460" windowWidth="28800" windowHeight="17460" tabRatio="312" activeTab="1"/>
  </bookViews>
  <sheets>
    <sheet name="Metrics" sheetId="8" r:id="rId1"/>
    <sheet name="Logging" sheetId="4" r:id="rId2"/>
  </sheets>
  <definedNames>
    <definedName name="_NTC1">Metrics!$M$19</definedName>
    <definedName name="_NTC10">Metrics!$M$28</definedName>
    <definedName name="_NTC11">Metrics!$M$29</definedName>
    <definedName name="_NTC12">Metrics!$M$30</definedName>
    <definedName name="_NTC13">Metrics!$M$31</definedName>
    <definedName name="_NTC14">Metrics!$M$32</definedName>
    <definedName name="_NTC15">Metrics!$M$33</definedName>
    <definedName name="_NTC16">Metrics!$M$34</definedName>
    <definedName name="_NTC17">Metrics!$M$35</definedName>
    <definedName name="_NTC18">Metrics!$M$36</definedName>
    <definedName name="_NTC19">Metrics!$M$37</definedName>
    <definedName name="_NTC2">Metrics!$M$20</definedName>
    <definedName name="_NTC20">Metrics!$M$38</definedName>
    <definedName name="_NTC3">Metrics!$M$21</definedName>
    <definedName name="_NTC4">Metrics!$M$22</definedName>
    <definedName name="_NTC5">Metrics!$M$23</definedName>
    <definedName name="_NTC6">Metrics!$M$24</definedName>
    <definedName name="_NTC7">Metrics!$M$25</definedName>
    <definedName name="_NTC8">Metrics!$M$26</definedName>
    <definedName name="_NTC9">Metrics!$M$27</definedName>
    <definedName name="Author">Metrics!$O$12</definedName>
    <definedName name="BudgetNr">Metrics!$E$10</definedName>
    <definedName name="CountUnit">Metrics!$M$18</definedName>
    <definedName name="DocId">Metrics!$O$10</definedName>
    <definedName name="DocVersion">Metrics!$O$11</definedName>
    <definedName name="Effort1">Metrics!#REF!</definedName>
    <definedName name="Effort10">Metrics!#REF!</definedName>
    <definedName name="Effort11">Metrics!#REF!</definedName>
    <definedName name="Effort12">Metrics!#REF!</definedName>
    <definedName name="Effort13">Metrics!#REF!</definedName>
    <definedName name="Effort14">Metrics!#REF!</definedName>
    <definedName name="Effort15">Metrics!#REF!</definedName>
    <definedName name="Effort16">Metrics!#REF!</definedName>
    <definedName name="Effort17">Metrics!#REF!</definedName>
    <definedName name="Effort18">Metrics!#REF!</definedName>
    <definedName name="Effort19">Metrics!#REF!</definedName>
    <definedName name="Effort2">Metrics!#REF!</definedName>
    <definedName name="Effort20">Metrics!#REF!</definedName>
    <definedName name="Effort3">Metrics!#REF!</definedName>
    <definedName name="Effort4">Metrics!#REF!</definedName>
    <definedName name="Effort5">Metrics!#REF!</definedName>
    <definedName name="Effort6">Metrics!#REF!</definedName>
    <definedName name="Effort7">Metrics!#REF!</definedName>
    <definedName name="Effort8">Metrics!#REF!</definedName>
    <definedName name="Effort9">Metrics!#REF!</definedName>
    <definedName name="Focus1">Metrics!$H$19</definedName>
    <definedName name="Focus10">Metrics!$H$28</definedName>
    <definedName name="Focus11">Metrics!$H$29</definedName>
    <definedName name="Focus12">Metrics!$H$30</definedName>
    <definedName name="Focus13">Metrics!$H$31</definedName>
    <definedName name="Focus14">Metrics!$H$32</definedName>
    <definedName name="Focus15">Metrics!$H$33</definedName>
    <definedName name="Focus16">Metrics!$H$34</definedName>
    <definedName name="Focus17">Metrics!$H$35</definedName>
    <definedName name="Focus18">Metrics!$H$36</definedName>
    <definedName name="Focus19">Metrics!$H$37</definedName>
    <definedName name="Focus2">Metrics!$H$20</definedName>
    <definedName name="Focus20">Metrics!$H$38</definedName>
    <definedName name="Focus3">Metrics!$H$21</definedName>
    <definedName name="Focus4">Metrics!$H$22</definedName>
    <definedName name="Focus5">Metrics!$H$23</definedName>
    <definedName name="Focus6">Metrics!$H$24</definedName>
    <definedName name="Focus7">Metrics!$H$25</definedName>
    <definedName name="Focus8">Metrics!$H$26</definedName>
    <definedName name="Focus9">Metrics!$H$27</definedName>
    <definedName name="Initial1">Metrics!$D$19</definedName>
    <definedName name="Initial10">Metrics!$D$28</definedName>
    <definedName name="Initial11">Metrics!$D$29</definedName>
    <definedName name="Initial12">Metrics!$D$30</definedName>
    <definedName name="Initial13">Metrics!$D$31</definedName>
    <definedName name="Initial14">Metrics!$D$32</definedName>
    <definedName name="Initial15">Metrics!$D$33</definedName>
    <definedName name="Initial16">Metrics!$D$34</definedName>
    <definedName name="Initial17">Metrics!$D$35</definedName>
    <definedName name="Initial18">Metrics!$D$36</definedName>
    <definedName name="Initial19">Metrics!$D$37</definedName>
    <definedName name="Initial2">Metrics!$D$21</definedName>
    <definedName name="Initial20">Metrics!$D$38</definedName>
    <definedName name="Initial3">Metrics!#REF!</definedName>
    <definedName name="Initial4">Metrics!$D$22</definedName>
    <definedName name="Initial5">Metrics!$D$23</definedName>
    <definedName name="Initial6">Metrics!$D$24</definedName>
    <definedName name="Initial7">Metrics!$D$25</definedName>
    <definedName name="Initial8">Metrics!$D$26</definedName>
    <definedName name="Initial9">Metrics!$D$27</definedName>
    <definedName name="KickOffDate">Metrics!$E$16</definedName>
    <definedName name="KickOffLocation">Metrics!$F$16</definedName>
    <definedName name="KickOffTime">Metrics!$G$16</definedName>
    <definedName name="Logging1">Logging!#REF!</definedName>
    <definedName name="Major1">Metrics!$O$19</definedName>
    <definedName name="MaxDensity">Metrics!$I$1</definedName>
    <definedName name="MedDensity">Metrics!$I$2</definedName>
    <definedName name="MeetingDate">Metrics!$E$42</definedName>
    <definedName name="MeetingLocation">Metrics!$F$42</definedName>
    <definedName name="MeetingTime">Metrics!$G$42</definedName>
    <definedName name="MinDensity">Metrics!$I$3</definedName>
    <definedName name="Minor1">Metrics!$P$19</definedName>
    <definedName name="Moderator">Metrics!$E$12</definedName>
    <definedName name="Name1">Metrics!$E$19</definedName>
    <definedName name="Name10">Metrics!$E$28</definedName>
    <definedName name="Name11">Metrics!$E$29</definedName>
    <definedName name="Name12">Metrics!$E$30</definedName>
    <definedName name="Name13">Metrics!$E$31</definedName>
    <definedName name="Name14">Metrics!$E$32</definedName>
    <definedName name="Name15">Metrics!$E$33</definedName>
    <definedName name="Name16">Metrics!$E$34</definedName>
    <definedName name="Name17">Metrics!$E$35</definedName>
    <definedName name="Name18">Metrics!$E$36</definedName>
    <definedName name="Name19">Metrics!$E$37</definedName>
    <definedName name="Name2">Metrics!$E$21</definedName>
    <definedName name="Name20">Metrics!$E$38</definedName>
    <definedName name="Name3">Metrics!#REF!</definedName>
    <definedName name="Name4">Metrics!$E$22</definedName>
    <definedName name="Name5">Metrics!$E$23</definedName>
    <definedName name="Name6">Metrics!$E$24</definedName>
    <definedName name="Name7">Metrics!$E$25</definedName>
    <definedName name="Name8">Metrics!$E$26</definedName>
    <definedName name="Name9">Metrics!$E$27</definedName>
    <definedName name="NameLookup">Metrics!$D$19:$F$38</definedName>
    <definedName name="Notes">Metrics!$A$50</definedName>
    <definedName name="Notes2">Metrics!#REF!</definedName>
    <definedName name="Page">Logging!$B$26</definedName>
    <definedName name="PaperReview1">Metrics!#REF!</definedName>
    <definedName name="PaperReview10">Metrics!#REF!</definedName>
    <definedName name="PaperReview11">Metrics!#REF!</definedName>
    <definedName name="PaperReview12">Metrics!#REF!</definedName>
    <definedName name="PaperReview13">Metrics!#REF!</definedName>
    <definedName name="PaperReview14">Metrics!#REF!</definedName>
    <definedName name="PaperReview15">Metrics!#REF!</definedName>
    <definedName name="PaperReview16">Metrics!#REF!</definedName>
    <definedName name="PaperReview17">Metrics!#REF!</definedName>
    <definedName name="PaperReview18">Metrics!#REF!</definedName>
    <definedName name="PaperReview19">Metrics!#REF!</definedName>
    <definedName name="PaperReview2">Metrics!#REF!</definedName>
    <definedName name="PaperReview20">Metrics!#REF!</definedName>
    <definedName name="PaperReview3">Metrics!#REF!</definedName>
    <definedName name="PaperReview4">Metrics!#REF!</definedName>
    <definedName name="PaperReview5">Metrics!#REF!</definedName>
    <definedName name="PaperReview6">Metrics!#REF!</definedName>
    <definedName name="PaperReview7">Metrics!#REF!</definedName>
    <definedName name="PaperReview8">Metrics!#REF!</definedName>
    <definedName name="PaperReview9">Metrics!#REF!</definedName>
    <definedName name="_xlnm.Print_Area" localSheetId="0">Metrics!$A$1:$V$50</definedName>
    <definedName name="_xlnm.Print_Titles" localSheetId="1">Logging!$21:$26</definedName>
    <definedName name="Project">Metrics!$E$9</definedName>
    <definedName name="Question1">Metrics!$Q$19</definedName>
    <definedName name="ReviewId">Metrics!$E$11</definedName>
    <definedName name="ReviewSize">Metrics!#REF!</definedName>
    <definedName name="RwSevMajor">Metrics!$O$47</definedName>
    <definedName name="RwSevMinor">Metrics!$P$47</definedName>
    <definedName name="TargetDateRework">Metrics!$E$45</definedName>
    <definedName name="TargetDateVerification">Metrics!$E$47</definedName>
    <definedName name="Title">Metrics!$O$9</definedName>
    <definedName name="Verifier">Metrics!$F$47</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25" i="4" l="1"/>
  <c r="I23" i="4"/>
  <c r="I22" i="4"/>
  <c r="C22" i="4"/>
  <c r="C23" i="4"/>
  <c r="C25" i="4"/>
  <c r="A25" i="4"/>
  <c r="I1" i="8"/>
  <c r="I2" i="8"/>
  <c r="I3" i="8"/>
  <c r="K39" i="8"/>
  <c r="M39" i="8"/>
  <c r="O39" i="8"/>
  <c r="P39" i="8"/>
  <c r="Q39" i="8"/>
  <c r="A1" i="4"/>
  <c r="L1" i="4"/>
  <c r="A2" i="4"/>
  <c r="L2" i="4"/>
  <c r="A3" i="4"/>
  <c r="L3" i="4"/>
  <c r="A4" i="4"/>
  <c r="L4" i="4"/>
  <c r="A5" i="4"/>
  <c r="L5" i="4"/>
  <c r="A6" i="4"/>
  <c r="L6" i="4"/>
  <c r="A7" i="4"/>
  <c r="L7" i="4"/>
  <c r="A8" i="4"/>
  <c r="L8" i="4"/>
  <c r="A9" i="4"/>
  <c r="L9" i="4"/>
  <c r="A10" i="4"/>
  <c r="L10" i="4"/>
  <c r="A11" i="4"/>
  <c r="L11" i="4"/>
  <c r="A12" i="4"/>
  <c r="L12" i="4"/>
  <c r="A13" i="4"/>
  <c r="L13" i="4"/>
  <c r="A14" i="4"/>
  <c r="L14" i="4"/>
  <c r="A15" i="4"/>
  <c r="L15" i="4"/>
  <c r="A16" i="4"/>
  <c r="L16" i="4"/>
  <c r="A17" i="4"/>
  <c r="L17" i="4"/>
  <c r="A18" i="4"/>
  <c r="L18" i="4"/>
  <c r="A19" i="4"/>
  <c r="L19" i="4"/>
  <c r="A20" i="4"/>
  <c r="L20" i="4"/>
  <c r="L21" i="4"/>
  <c r="A22" i="4"/>
  <c r="L22" i="4"/>
  <c r="A23" i="4"/>
  <c r="L23" i="4"/>
  <c r="A24" i="4"/>
  <c r="L24" i="4"/>
  <c r="L25" i="4"/>
  <c r="L26" i="4"/>
</calcChain>
</file>

<file path=xl/comments1.xml><?xml version="1.0" encoding="utf-8"?>
<comments xmlns="http://schemas.openxmlformats.org/spreadsheetml/2006/main">
  <authors>
    <author>René</author>
  </authors>
  <commentList>
    <comment ref="A26" authorId="0">
      <text>
        <r>
          <rPr>
            <sz val="8"/>
            <color indexed="81"/>
            <rFont val="Tahoma"/>
            <family val="2"/>
          </rPr>
          <t xml:space="preserve">Select the initials assigned to you in this list.
</t>
        </r>
      </text>
    </comment>
    <comment ref="B26" authorId="0">
      <text>
        <r>
          <rPr>
            <b/>
            <sz val="8"/>
            <color indexed="81"/>
            <rFont val="Tahoma"/>
            <family val="2"/>
          </rPr>
          <t>Page number the remark was found on. For general remarks, use 0.</t>
        </r>
      </text>
    </comment>
    <comment ref="C26" authorId="0">
      <text>
        <r>
          <rPr>
            <sz val="8"/>
            <color indexed="81"/>
            <rFont val="Tahoma"/>
            <family val="2"/>
          </rPr>
          <t>Line number the remark was found on. For general remarks, use 0.</t>
        </r>
      </text>
    </comment>
    <comment ref="D26" authorId="0">
      <text>
        <r>
          <rPr>
            <b/>
            <sz val="8"/>
            <color indexed="81"/>
            <rFont val="Tahoma"/>
            <family val="2"/>
          </rPr>
          <t>Select a severity level for the remark found.</t>
        </r>
        <r>
          <rPr>
            <sz val="8"/>
            <color indexed="81"/>
            <rFont val="Tahoma"/>
            <family val="2"/>
          </rPr>
          <t xml:space="preserve">
</t>
        </r>
      </text>
    </comment>
    <comment ref="G26" authorId="0">
      <text>
        <r>
          <rPr>
            <b/>
            <sz val="8"/>
            <color indexed="81"/>
            <rFont val="Tahoma"/>
            <family val="2"/>
          </rPr>
          <t>Indicate if the remark needs to be discussed.</t>
        </r>
        <r>
          <rPr>
            <sz val="8"/>
            <color indexed="81"/>
            <rFont val="Tahoma"/>
            <family val="2"/>
          </rPr>
          <t xml:space="preserve">
</t>
        </r>
      </text>
    </comment>
    <comment ref="H26" authorId="0">
      <text>
        <r>
          <rPr>
            <b/>
            <sz val="8"/>
            <color indexed="81"/>
            <rFont val="Tahoma"/>
            <family val="2"/>
          </rPr>
          <t>Select actual severity level when reworking the document.</t>
        </r>
      </text>
    </comment>
    <comment ref="I26" authorId="0">
      <text>
        <r>
          <rPr>
            <b/>
            <sz val="8"/>
            <color indexed="81"/>
            <rFont val="Tahoma"/>
            <family val="2"/>
          </rPr>
          <t xml:space="preserve">Indicate how the remark was handled during reworking.
</t>
        </r>
      </text>
    </comment>
    <comment ref="J26" authorId="0">
      <text>
        <r>
          <rPr>
            <b/>
            <sz val="8"/>
            <color indexed="81"/>
            <rFont val="Tahoma"/>
            <family val="2"/>
          </rPr>
          <t>Name of Verifier</t>
        </r>
      </text>
    </comment>
    <comment ref="K26" authorId="0">
      <text>
        <r>
          <rPr>
            <b/>
            <sz val="8"/>
            <color indexed="81"/>
            <rFont val="Tahoma"/>
            <family val="2"/>
          </rPr>
          <t>Select one of the predefined options</t>
        </r>
        <r>
          <rPr>
            <sz val="8"/>
            <color indexed="81"/>
            <rFont val="Tahoma"/>
            <family val="2"/>
          </rPr>
          <t xml:space="preserve">
</t>
        </r>
      </text>
    </comment>
  </commentList>
</comments>
</file>

<file path=xl/sharedStrings.xml><?xml version="1.0" encoding="utf-8"?>
<sst xmlns="http://schemas.openxmlformats.org/spreadsheetml/2006/main" count="129" uniqueCount="100">
  <si>
    <t>X</t>
  </si>
  <si>
    <t>MaxDensity</t>
  </si>
  <si>
    <t>Accept</t>
  </si>
  <si>
    <t>Rewrite</t>
  </si>
  <si>
    <t>Ok</t>
  </si>
  <si>
    <t>MedDensity</t>
  </si>
  <si>
    <t>Reject</t>
  </si>
  <si>
    <t>Correct</t>
  </si>
  <si>
    <t>Cancel</t>
  </si>
  <si>
    <t>MinDensity</t>
  </si>
  <si>
    <t>LogMajors</t>
  </si>
  <si>
    <t>Normal</t>
  </si>
  <si>
    <t>SkipLog</t>
  </si>
  <si>
    <t>NewTeam</t>
  </si>
  <si>
    <t>Yes</t>
  </si>
  <si>
    <t>Re-Inspect</t>
  </si>
  <si>
    <t>No</t>
  </si>
  <si>
    <t>Project Name</t>
  </si>
  <si>
    <t>Document ID</t>
  </si>
  <si>
    <t>Review ID</t>
  </si>
  <si>
    <t>Document Title</t>
  </si>
  <si>
    <t>Moderator</t>
  </si>
  <si>
    <t>Author</t>
  </si>
  <si>
    <t>Document Type</t>
  </si>
  <si>
    <t>Activity</t>
  </si>
  <si>
    <t>Duration(min)</t>
  </si>
  <si>
    <t>Prep Time (min)</t>
  </si>
  <si>
    <t>Size (lp/loc)</t>
  </si>
  <si>
    <t>Majors</t>
  </si>
  <si>
    <t>Minors</t>
  </si>
  <si>
    <t>Questions</t>
  </si>
  <si>
    <t>Review</t>
  </si>
  <si>
    <t>Initials</t>
  </si>
  <si>
    <t>Name</t>
  </si>
  <si>
    <t>Role</t>
  </si>
  <si>
    <t>Viewpoint</t>
  </si>
  <si>
    <t>Logical pages</t>
  </si>
  <si>
    <t>Present</t>
  </si>
  <si>
    <t>Review meeting</t>
  </si>
  <si>
    <t>Rework</t>
  </si>
  <si>
    <t>Verification</t>
  </si>
  <si>
    <t>Notes</t>
  </si>
  <si>
    <t>Typo</t>
  </si>
  <si>
    <t>Contradict</t>
  </si>
  <si>
    <t>Contradiction</t>
  </si>
  <si>
    <t>Major</t>
  </si>
  <si>
    <t>Ambiguity</t>
  </si>
  <si>
    <t>Nok</t>
  </si>
  <si>
    <t>Minor</t>
  </si>
  <si>
    <t>Comment</t>
  </si>
  <si>
    <t>Question</t>
  </si>
  <si>
    <t>Noise</t>
  </si>
  <si>
    <t>Silence</t>
  </si>
  <si>
    <t>Answer</t>
  </si>
  <si>
    <t>Obscurity</t>
  </si>
  <si>
    <t>Duplicate</t>
  </si>
  <si>
    <t>Rigid</t>
  </si>
  <si>
    <t>Unidentif</t>
  </si>
  <si>
    <t>Unidentified</t>
  </si>
  <si>
    <t>Dispensab</t>
  </si>
  <si>
    <t>Dispensable</t>
  </si>
  <si>
    <t>Unfeasible</t>
  </si>
  <si>
    <t>Solution</t>
  </si>
  <si>
    <t>Unverifiab</t>
  </si>
  <si>
    <t>Unverifiable</t>
  </si>
  <si>
    <t>Widow</t>
  </si>
  <si>
    <t>Orphan</t>
  </si>
  <si>
    <t>Remark List</t>
  </si>
  <si>
    <t>Inspector</t>
  </si>
  <si>
    <t>Page</t>
  </si>
  <si>
    <t>Line</t>
  </si>
  <si>
    <t>Severity</t>
  </si>
  <si>
    <t>Rule</t>
  </si>
  <si>
    <t>Defect (Description in +/- 8 words)</t>
  </si>
  <si>
    <t>Discuss</t>
  </si>
  <si>
    <t>Reworked Severity</t>
  </si>
  <si>
    <t>Comment (Arguments, Solution, Followup Actions, ...)</t>
  </si>
  <si>
    <t>Verifier</t>
  </si>
  <si>
    <t>Result</t>
  </si>
  <si>
    <t>Document Version</t>
  </si>
  <si>
    <t>PROJECT DOCUMENTS REVIEW SHEET</t>
  </si>
  <si>
    <t>Quality Engineer</t>
  </si>
  <si>
    <r>
      <rPr>
        <sz val="9"/>
        <color rgb="FF0070C0"/>
        <rFont val="Arial Narrow"/>
        <family val="2"/>
      </rPr>
      <t>Verifier:</t>
    </r>
    <r>
      <rPr>
        <sz val="9"/>
        <rFont val="Arial Narrow"/>
        <family val="2"/>
      </rPr>
      <t xml:space="preserve"> Robert Draheim
</t>
    </r>
    <r>
      <rPr>
        <sz val="9"/>
        <color rgb="FF0070C0"/>
        <rFont val="Arial Narrow"/>
        <family val="2"/>
      </rPr>
      <t>Approver:</t>
    </r>
    <r>
      <rPr>
        <sz val="9"/>
        <rFont val="Arial Narrow"/>
        <family val="2"/>
      </rPr>
      <t xml:space="preserve"> Robert Draheim</t>
    </r>
  </si>
  <si>
    <t>EriGaa</t>
  </si>
  <si>
    <t>Erik Gaal</t>
  </si>
  <si>
    <t>Document management / QMS</t>
  </si>
  <si>
    <t>Product Owner</t>
  </si>
  <si>
    <t>JooWes</t>
  </si>
  <si>
    <t>Joost Westra</t>
  </si>
  <si>
    <t>Jaime Visser</t>
  </si>
  <si>
    <t>Configuration Items</t>
  </si>
  <si>
    <t>Correctness, consistency</t>
  </si>
  <si>
    <t>CommLib Android</t>
  </si>
  <si>
    <t>Configuration Items CommLib Android</t>
  </si>
  <si>
    <t>JaiVis-20161122-02V01</t>
  </si>
  <si>
    <t>(no comments)</t>
  </si>
  <si>
    <t>BasFla</t>
  </si>
  <si>
    <t>Bas Flaton</t>
  </si>
  <si>
    <t>Developer</t>
  </si>
  <si>
    <t>1.2 draft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</si>
</sst>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0" x14ac:knownFonts="1">
    <font>
      <sz val="10"/>
      <name val="Arial"/>
    </font>
    <font>
      <sz val="9"/>
      <name val="Arial Narrow"/>
      <family val="2"/>
    </font>
    <font>
      <b/>
      <sz val="9"/>
      <name val="Arial Narrow"/>
      <family val="2"/>
    </font>
    <font>
      <b/>
      <sz val="12"/>
      <name val="Arial Narrow"/>
      <family val="2"/>
    </font>
    <font>
      <sz val="8"/>
      <name val="Arial Narrow"/>
      <family val="2"/>
    </font>
    <font>
      <sz val="10"/>
      <color rgb="FF000000"/>
      <name val="Arial"/>
      <family val="2"/>
    </font>
    <font>
      <sz val="8"/>
      <color indexed="81"/>
      <name val="Tahoma"/>
      <family val="2"/>
    </font>
    <font>
      <b/>
      <sz val="8"/>
      <color indexed="81"/>
      <name val="Tahoma"/>
      <family val="2"/>
    </font>
    <font>
      <sz val="10"/>
      <name val="Arial"/>
      <family val="2"/>
    </font>
    <font>
      <sz val="9"/>
      <color rgb="FF0070C0"/>
      <name val="Arial Narrow"/>
      <family val="2"/>
    </font>
  </fonts>
  <fills count="7">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8"/>
        <bgColor indexed="64"/>
      </patternFill>
    </fill>
    <fill>
      <patternFill patternType="solid">
        <fgColor indexed="10"/>
        <bgColor indexed="64"/>
      </patternFill>
    </fill>
    <fill>
      <patternFill patternType="solid">
        <fgColor indexed="9"/>
        <bgColor indexed="64"/>
      </patternFill>
    </fill>
  </fills>
  <borders count="11">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ck">
        <color auto="1"/>
      </top>
      <bottom style="thin">
        <color auto="1"/>
      </bottom>
      <diagonal/>
    </border>
  </borders>
  <cellStyleXfs count="1">
    <xf numFmtId="0" fontId="0" fillId="0" borderId="0"/>
  </cellStyleXfs>
  <cellXfs count="85">
    <xf numFmtId="0" fontId="0" fillId="0" borderId="0" xfId="0"/>
    <xf numFmtId="0" fontId="1" fillId="0" borderId="0" xfId="0"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 fontId="1" fillId="0" borderId="0" xfId="0" applyNumberFormat="1" applyFont="1" applyAlignment="1">
      <alignment horizontal="center"/>
    </xf>
    <xf numFmtId="0" fontId="1" fillId="2" borderId="1" xfId="0" applyFont="1" applyFill="1" applyBorder="1" applyAlignment="1">
      <alignment horizontal="center"/>
    </xf>
    <xf numFmtId="0" fontId="1" fillId="2" borderId="2" xfId="0" applyFont="1" applyFill="1" applyBorder="1" applyAlignment="1">
      <alignment horizontal="left"/>
    </xf>
    <xf numFmtId="1" fontId="1" fillId="2" borderId="1" xfId="0" applyNumberFormat="1" applyFont="1" applyFill="1" applyBorder="1" applyAlignment="1">
      <alignment horizontal="center"/>
    </xf>
    <xf numFmtId="0" fontId="1" fillId="3" borderId="0" xfId="0" applyFont="1" applyFill="1" applyBorder="1" applyAlignment="1">
      <alignment horizontal="center"/>
    </xf>
    <xf numFmtId="0" fontId="1" fillId="3" borderId="0" xfId="0" applyFont="1" applyFill="1" applyBorder="1" applyAlignment="1">
      <alignment horizontal="left"/>
    </xf>
    <xf numFmtId="0" fontId="1" fillId="3" borderId="3" xfId="0" applyFont="1" applyFill="1" applyBorder="1" applyAlignment="1">
      <alignment horizontal="left"/>
    </xf>
    <xf numFmtId="0" fontId="1" fillId="3" borderId="4" xfId="0" applyFont="1" applyFill="1" applyBorder="1" applyAlignment="1">
      <alignment horizontal="left"/>
    </xf>
    <xf numFmtId="0" fontId="1" fillId="3" borderId="4" xfId="0" applyFont="1" applyFill="1" applyBorder="1" applyAlignment="1">
      <alignment horizontal="center"/>
    </xf>
    <xf numFmtId="1" fontId="1" fillId="3" borderId="4" xfId="0" applyNumberFormat="1" applyFont="1" applyFill="1" applyBorder="1" applyAlignment="1">
      <alignment horizontal="center"/>
    </xf>
    <xf numFmtId="164" fontId="1" fillId="3" borderId="4" xfId="0" applyNumberFormat="1" applyFont="1" applyFill="1" applyBorder="1" applyAlignment="1">
      <alignment horizontal="center"/>
    </xf>
    <xf numFmtId="0" fontId="1" fillId="3" borderId="5" xfId="0" applyFont="1" applyFill="1" applyBorder="1" applyAlignment="1">
      <alignment horizontal="left"/>
    </xf>
    <xf numFmtId="0" fontId="1" fillId="3" borderId="6" xfId="0" applyFont="1" applyFill="1" applyBorder="1" applyAlignment="1">
      <alignment horizontal="left"/>
    </xf>
    <xf numFmtId="0" fontId="2" fillId="3" borderId="0" xfId="0" applyFont="1" applyFill="1" applyBorder="1" applyAlignment="1">
      <alignment horizontal="left"/>
    </xf>
    <xf numFmtId="0" fontId="1" fillId="3" borderId="7" xfId="0" applyFont="1" applyFill="1" applyBorder="1" applyAlignment="1">
      <alignment horizontal="left"/>
    </xf>
    <xf numFmtId="1" fontId="1" fillId="3" borderId="0" xfId="0" applyNumberFormat="1" applyFont="1" applyFill="1" applyBorder="1" applyAlignment="1">
      <alignment horizontal="center"/>
    </xf>
    <xf numFmtId="164" fontId="1" fillId="3" borderId="0" xfId="0" applyNumberFormat="1" applyFont="1" applyFill="1" applyBorder="1" applyAlignment="1">
      <alignment horizontal="center"/>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7" xfId="0" applyFont="1" applyFill="1" applyBorder="1" applyAlignment="1">
      <alignment horizontal="right"/>
    </xf>
    <xf numFmtId="0" fontId="1" fillId="2" borderId="8" xfId="0" applyFont="1" applyFill="1" applyBorder="1" applyAlignment="1">
      <alignment horizontal="left"/>
    </xf>
    <xf numFmtId="0" fontId="1" fillId="2" borderId="1" xfId="0" applyFont="1" applyFill="1" applyBorder="1" applyAlignment="1">
      <alignment horizontal="left"/>
    </xf>
    <xf numFmtId="164" fontId="1" fillId="2" borderId="1" xfId="0" applyNumberFormat="1" applyFont="1" applyFill="1" applyBorder="1" applyAlignment="1">
      <alignment horizontal="center"/>
    </xf>
    <xf numFmtId="0" fontId="1" fillId="0" borderId="9" xfId="0" applyFont="1" applyBorder="1" applyAlignment="1">
      <alignment horizontal="center"/>
    </xf>
    <xf numFmtId="1" fontId="1" fillId="3" borderId="9" xfId="0" applyNumberFormat="1" applyFont="1" applyFill="1" applyBorder="1" applyAlignment="1" applyProtection="1">
      <alignment horizontal="center"/>
      <protection locked="0"/>
    </xf>
    <xf numFmtId="0" fontId="1" fillId="0" borderId="0" xfId="0" applyFont="1" applyBorder="1" applyAlignment="1">
      <alignment horizontal="center"/>
    </xf>
    <xf numFmtId="0" fontId="1" fillId="0" borderId="9" xfId="0" applyFont="1" applyBorder="1" applyAlignment="1" applyProtection="1">
      <alignment horizontal="left" vertical="top" wrapText="1"/>
      <protection locked="0"/>
    </xf>
    <xf numFmtId="0" fontId="1" fillId="3" borderId="9" xfId="0" applyFont="1" applyFill="1" applyBorder="1" applyAlignment="1" applyProtection="1">
      <alignment horizontal="left" vertical="top" wrapText="1"/>
      <protection locked="0"/>
    </xf>
    <xf numFmtId="0" fontId="1" fillId="3" borderId="2" xfId="0" applyFont="1" applyFill="1" applyBorder="1" applyAlignment="1" applyProtection="1">
      <alignment horizontal="left" vertical="top" wrapText="1"/>
      <protection locked="0"/>
    </xf>
    <xf numFmtId="0" fontId="1" fillId="0" borderId="9" xfId="0" applyFont="1" applyBorder="1" applyAlignment="1" applyProtection="1">
      <alignment horizontal="center" vertical="top" wrapText="1"/>
      <protection locked="0"/>
    </xf>
    <xf numFmtId="0" fontId="1" fillId="3" borderId="9" xfId="0" applyFont="1" applyFill="1" applyBorder="1" applyAlignment="1" applyProtection="1">
      <alignment horizontal="center" vertical="top" wrapText="1"/>
      <protection locked="0"/>
    </xf>
    <xf numFmtId="1" fontId="1" fillId="3" borderId="9" xfId="0" applyNumberFormat="1" applyFont="1" applyFill="1" applyBorder="1" applyAlignment="1" applyProtection="1">
      <alignment horizontal="center" vertical="top" wrapText="1"/>
      <protection locked="0"/>
    </xf>
    <xf numFmtId="1" fontId="1" fillId="0" borderId="9" xfId="0" applyNumberFormat="1" applyFont="1" applyBorder="1" applyAlignment="1" applyProtection="1">
      <alignment horizontal="center" vertical="top" wrapText="1"/>
      <protection locked="0"/>
    </xf>
    <xf numFmtId="1" fontId="1" fillId="3" borderId="9" xfId="0" applyNumberFormat="1" applyFont="1" applyFill="1" applyBorder="1" applyAlignment="1" applyProtection="1">
      <alignment horizontal="center" wrapText="1"/>
      <protection locked="0"/>
    </xf>
    <xf numFmtId="0" fontId="4" fillId="0" borderId="0" xfId="0" applyFont="1" applyAlignment="1">
      <alignment horizontal="center" vertical="center"/>
    </xf>
    <xf numFmtId="49" fontId="1" fillId="0" borderId="9" xfId="0" applyNumberFormat="1" applyFont="1" applyBorder="1" applyAlignment="1" applyProtection="1">
      <alignment horizontal="centerContinuous" vertical="top" wrapText="1"/>
      <protection locked="0"/>
    </xf>
    <xf numFmtId="49" fontId="1" fillId="0" borderId="9" xfId="0" applyNumberFormat="1" applyFont="1" applyFill="1" applyBorder="1" applyAlignment="1" applyProtection="1">
      <alignment horizontal="centerContinuous" vertical="top" wrapText="1"/>
      <protection locked="0"/>
    </xf>
    <xf numFmtId="0" fontId="1" fillId="4" borderId="9" xfId="0" applyFont="1" applyFill="1" applyBorder="1" applyAlignment="1" applyProtection="1">
      <alignment horizontal="center" vertical="center"/>
      <protection locked="0"/>
    </xf>
    <xf numFmtId="1" fontId="1" fillId="4" borderId="10" xfId="0" applyNumberFormat="1" applyFont="1" applyFill="1" applyBorder="1" applyAlignment="1" applyProtection="1">
      <alignment horizontal="center" vertical="center"/>
      <protection locked="0"/>
    </xf>
    <xf numFmtId="1" fontId="1" fillId="5" borderId="9" xfId="0" applyNumberFormat="1" applyFont="1" applyFill="1" applyBorder="1" applyAlignment="1" applyProtection="1">
      <alignment horizontal="center" vertical="center"/>
      <protection locked="0"/>
    </xf>
    <xf numFmtId="1" fontId="1" fillId="5" borderId="9" xfId="0" quotePrefix="1" applyNumberFormat="1" applyFont="1" applyFill="1" applyBorder="1" applyAlignment="1" applyProtection="1">
      <alignment horizontal="center" vertical="center"/>
      <protection locked="0"/>
    </xf>
    <xf numFmtId="1" fontId="1" fillId="6" borderId="9" xfId="0" quotePrefix="1" applyNumberFormat="1"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top" wrapText="1"/>
    </xf>
    <xf numFmtId="0" fontId="1" fillId="3" borderId="8" xfId="0" applyFont="1" applyFill="1" applyBorder="1" applyAlignment="1" applyProtection="1">
      <alignment horizontal="left" vertical="top" wrapText="1"/>
      <protection locked="0"/>
    </xf>
    <xf numFmtId="0" fontId="3" fillId="2" borderId="1" xfId="0" applyFont="1" applyFill="1" applyBorder="1" applyAlignment="1" applyProtection="1">
      <alignment horizontal="center" vertical="top" wrapText="1"/>
      <protection locked="0"/>
    </xf>
    <xf numFmtId="0" fontId="3" fillId="2" borderId="2" xfId="0" applyFont="1" applyFill="1" applyBorder="1" applyAlignment="1" applyProtection="1">
      <alignment horizontal="center" vertical="top" wrapText="1"/>
      <protection locked="0"/>
    </xf>
    <xf numFmtId="0" fontId="1" fillId="2" borderId="8" xfId="0" applyFont="1" applyFill="1" applyBorder="1" applyAlignment="1" applyProtection="1">
      <alignment horizontal="left" vertical="top" wrapText="1"/>
      <protection locked="0"/>
    </xf>
    <xf numFmtId="0" fontId="1" fillId="2" borderId="2" xfId="0" applyFont="1" applyFill="1" applyBorder="1" applyAlignment="1" applyProtection="1">
      <alignment horizontal="left" vertical="top" wrapText="1"/>
      <protection locked="0"/>
    </xf>
    <xf numFmtId="0" fontId="1" fillId="3" borderId="1" xfId="0" applyFont="1" applyFill="1" applyBorder="1" applyAlignment="1" applyProtection="1">
      <alignment horizontal="left" vertical="top" wrapText="1"/>
      <protection locked="0"/>
    </xf>
    <xf numFmtId="49" fontId="1" fillId="2" borderId="9" xfId="0" applyNumberFormat="1" applyFont="1" applyFill="1" applyBorder="1" applyAlignment="1" applyProtection="1">
      <alignment horizontal="center" vertical="top" wrapText="1"/>
      <protection locked="0"/>
    </xf>
    <xf numFmtId="0" fontId="1" fillId="2" borderId="8" xfId="0" applyFont="1" applyFill="1" applyBorder="1" applyAlignment="1" applyProtection="1">
      <alignment horizontal="left" vertical="center"/>
    </xf>
    <xf numFmtId="2" fontId="1" fillId="0" borderId="0" xfId="0" applyNumberFormat="1" applyFont="1" applyAlignment="1">
      <alignment horizontal="center"/>
    </xf>
    <xf numFmtId="49" fontId="1" fillId="3" borderId="8" xfId="0" applyNumberFormat="1" applyFont="1" applyFill="1" applyBorder="1" applyAlignment="1" applyProtection="1">
      <alignment horizontal="left" vertical="top"/>
      <protection locked="0"/>
    </xf>
    <xf numFmtId="0" fontId="1" fillId="0" borderId="8" xfId="0" applyNumberFormat="1" applyFont="1" applyBorder="1" applyAlignment="1" applyProtection="1">
      <alignment horizontal="left" vertical="top" wrapText="1"/>
      <protection locked="0"/>
    </xf>
    <xf numFmtId="0" fontId="1" fillId="0" borderId="1" xfId="0" applyNumberFormat="1" applyFont="1" applyBorder="1" applyAlignment="1" applyProtection="1">
      <alignment horizontal="left" vertical="top" wrapText="1"/>
      <protection locked="0"/>
    </xf>
    <xf numFmtId="0" fontId="1" fillId="0" borderId="2" xfId="0" applyNumberFormat="1" applyFont="1" applyBorder="1" applyAlignment="1" applyProtection="1">
      <alignment horizontal="left" vertical="top" wrapText="1"/>
      <protection locked="0"/>
    </xf>
    <xf numFmtId="0" fontId="1" fillId="4" borderId="8" xfId="0" applyFont="1" applyFill="1" applyBorder="1" applyAlignment="1" applyProtection="1">
      <alignment horizontal="left" vertical="center"/>
      <protection locked="0"/>
    </xf>
    <xf numFmtId="0" fontId="1" fillId="4" borderId="2" xfId="0" applyFont="1" applyFill="1" applyBorder="1" applyAlignment="1" applyProtection="1">
      <alignment horizontal="left" vertical="center"/>
      <protection locked="0"/>
    </xf>
    <xf numFmtId="0" fontId="1" fillId="3" borderId="0" xfId="0" applyFont="1" applyFill="1" applyBorder="1" applyAlignment="1">
      <alignment horizontal="center"/>
    </xf>
    <xf numFmtId="1" fontId="1" fillId="3" borderId="0" xfId="0" applyNumberFormat="1" applyFont="1" applyFill="1" applyBorder="1" applyAlignment="1" applyProtection="1">
      <alignment horizontal="center" wrapText="1"/>
      <protection locked="0"/>
    </xf>
    <xf numFmtId="0" fontId="0" fillId="0" borderId="0" xfId="0" applyBorder="1" applyAlignment="1">
      <alignment horizontal="center" wrapText="1"/>
    </xf>
    <xf numFmtId="0" fontId="3" fillId="2" borderId="8" xfId="0" applyFont="1" applyFill="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49" fontId="1" fillId="4" borderId="8" xfId="0" applyNumberFormat="1" applyFont="1" applyFill="1" applyBorder="1" applyAlignment="1" applyProtection="1">
      <alignment horizontal="left"/>
      <protection locked="0"/>
    </xf>
    <xf numFmtId="49" fontId="1" fillId="4" borderId="1" xfId="0" applyNumberFormat="1" applyFont="1" applyFill="1" applyBorder="1" applyAlignment="1" applyProtection="1">
      <alignment horizontal="left"/>
      <protection locked="0"/>
    </xf>
    <xf numFmtId="49" fontId="1" fillId="4" borderId="2" xfId="0" applyNumberFormat="1" applyFont="1" applyFill="1" applyBorder="1" applyAlignment="1" applyProtection="1">
      <alignment horizontal="left"/>
      <protection locked="0"/>
    </xf>
    <xf numFmtId="0" fontId="8" fillId="4" borderId="1" xfId="0" applyFont="1" applyFill="1" applyBorder="1" applyAlignment="1"/>
    <xf numFmtId="0" fontId="0" fillId="4" borderId="1" xfId="0" applyFill="1" applyBorder="1" applyAlignment="1"/>
    <xf numFmtId="0" fontId="0" fillId="4" borderId="2" xfId="0" applyFill="1" applyBorder="1" applyAlignment="1"/>
    <xf numFmtId="0" fontId="0" fillId="4" borderId="1" xfId="0" applyFill="1" applyBorder="1" applyAlignment="1">
      <alignment horizontal="left"/>
    </xf>
    <xf numFmtId="0" fontId="0" fillId="4" borderId="2" xfId="0" applyFill="1" applyBorder="1" applyAlignment="1">
      <alignment horizontal="left"/>
    </xf>
    <xf numFmtId="0" fontId="1" fillId="2" borderId="8" xfId="0" applyFont="1" applyFill="1" applyBorder="1" applyAlignment="1" applyProtection="1">
      <alignment horizontal="left" vertical="center"/>
    </xf>
    <xf numFmtId="0" fontId="0" fillId="0" borderId="1" xfId="0" applyBorder="1" applyAlignment="1"/>
    <xf numFmtId="0" fontId="0" fillId="0" borderId="2" xfId="0" applyBorder="1" applyAlignment="1"/>
    <xf numFmtId="0" fontId="8" fillId="4" borderId="8" xfId="0" applyFont="1" applyFill="1" applyBorder="1" applyAlignment="1">
      <alignment horizontal="left"/>
    </xf>
    <xf numFmtId="1" fontId="1" fillId="3" borderId="8" xfId="0" applyNumberFormat="1" applyFont="1" applyFill="1" applyBorder="1" applyAlignment="1" applyProtection="1">
      <alignment horizontal="center"/>
      <protection locked="0"/>
    </xf>
    <xf numFmtId="1" fontId="1" fillId="3" borderId="2" xfId="0" applyNumberFormat="1" applyFont="1" applyFill="1" applyBorder="1" applyAlignment="1" applyProtection="1">
      <alignment horizontal="center"/>
      <protection locked="0"/>
    </xf>
    <xf numFmtId="0" fontId="0" fillId="0" borderId="2" xfId="0" applyBorder="1" applyAlignment="1">
      <alignment horizontal="center"/>
    </xf>
    <xf numFmtId="0" fontId="3" fillId="2" borderId="8" xfId="0" applyFont="1" applyFill="1" applyBorder="1" applyAlignment="1" applyProtection="1">
      <alignment horizontal="center" vertical="top" wrapText="1"/>
      <protection locked="0"/>
    </xf>
    <xf numFmtId="0" fontId="3" fillId="2" borderId="1" xfId="0" applyFont="1" applyFill="1" applyBorder="1" applyAlignment="1" applyProtection="1">
      <alignment horizontal="center" vertical="top" wrapText="1"/>
      <protection locked="0"/>
    </xf>
  </cellXfs>
  <cellStyles count="1">
    <cellStyle name="Normal" xfId="0" builtinId="0"/>
  </cellStyles>
  <dxfs count="2">
    <dxf>
      <fill>
        <patternFill patternType="none">
          <bgColor indexed="65"/>
        </patternFill>
      </fill>
    </dxf>
    <dxf>
      <fill>
        <patternFill patternType="none">
          <bgColor indexed="6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EAEAEA"/>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openxmlformats.org/officeDocument/2006/relationships/customXml" Target="../customXml/item1.xml"/><Relationship Id="rId8" Type="http://schemas.openxmlformats.org/officeDocument/2006/relationships/customXml" Target="../customXml/item2.xml"/><Relationship Id="rId9" Type="http://schemas.openxmlformats.org/officeDocument/2006/relationships/customXml" Target="../customXml/item3.xml"/><Relationship Id="rId10" Type="http://schemas.openxmlformats.org/officeDocument/2006/relationships/customXml" Target="../customXml/item4.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139700</xdr:colOff>
          <xdr:row>15</xdr:row>
          <xdr:rowOff>101600</xdr:rowOff>
        </xdr:from>
        <xdr:to>
          <xdr:col>17</xdr:col>
          <xdr:colOff>0</xdr:colOff>
          <xdr:row>17</xdr:row>
          <xdr:rowOff>101600</xdr:rowOff>
        </xdr:to>
        <xdr:sp macro="" textlink="">
          <xdr:nvSpPr>
            <xdr:cNvPr id="3088" name="Button 16" hidden="1">
              <a:extLst>
                <a:ext uri="{63B3BB69-23CF-44E3-9099-C40C66FF867C}">
                  <a14:compatExt spid="_x0000_s30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(Re-)Calculate Defects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444500</xdr:colOff>
          <xdr:row>20</xdr:row>
          <xdr:rowOff>25400</xdr:rowOff>
        </xdr:from>
        <xdr:to>
          <xdr:col>5</xdr:col>
          <xdr:colOff>736600</xdr:colOff>
          <xdr:row>21</xdr:row>
          <xdr:rowOff>0</xdr:rowOff>
        </xdr:to>
        <xdr:sp macro="" textlink="">
          <xdr:nvSpPr>
            <xdr:cNvPr id="2103" name="Button 55" hidden="1">
              <a:extLst>
                <a:ext uri="{63B3BB69-23CF-44E3-9099-C40C66FF867C}">
                  <a14:compatExt spid="_x0000_s21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Sort records by page- and line-nrs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749300</xdr:colOff>
          <xdr:row>20</xdr:row>
          <xdr:rowOff>25400</xdr:rowOff>
        </xdr:from>
        <xdr:to>
          <xdr:col>5</xdr:col>
          <xdr:colOff>2082800</xdr:colOff>
          <xdr:row>21</xdr:row>
          <xdr:rowOff>0</xdr:rowOff>
        </xdr:to>
        <xdr:sp macro="" textlink="">
          <xdr:nvSpPr>
            <xdr:cNvPr id="2120" name="Button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Merge comments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omments" Target="../comments1.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X50"/>
  <sheetViews>
    <sheetView topLeftCell="A4" zoomScale="115" zoomScaleNormal="115" zoomScalePageLayoutView="115" workbookViewId="0">
      <pane ySplit="10" topLeftCell="A14" activePane="bottomLeft" state="frozen"/>
      <selection activeCell="A8" sqref="A8"/>
      <selection pane="bottomLeft" activeCell="M19" sqref="M19:M38"/>
    </sheetView>
  </sheetViews>
  <sheetFormatPr baseColWidth="10" defaultColWidth="8.6640625" defaultRowHeight="12" x14ac:dyDescent="0.15"/>
  <cols>
    <col min="1" max="1" width="1.6640625" style="3" customWidth="1"/>
    <col min="2" max="2" width="15.1640625" style="3" customWidth="1"/>
    <col min="3" max="3" width="10" style="3" customWidth="1"/>
    <col min="4" max="4" width="7.1640625" style="3" customWidth="1"/>
    <col min="5" max="6" width="10.1640625" style="1" customWidth="1"/>
    <col min="7" max="7" width="22.1640625" style="1" customWidth="1"/>
    <col min="8" max="9" width="10.1640625" style="1" customWidth="1"/>
    <col min="10" max="10" width="1.5" style="3" customWidth="1"/>
    <col min="11" max="11" width="11.83203125" style="4" customWidth="1"/>
    <col min="12" max="12" width="1.5" style="3" customWidth="1"/>
    <col min="13" max="13" width="8.6640625" style="4" customWidth="1"/>
    <col min="14" max="14" width="5.6640625" style="3" customWidth="1"/>
    <col min="15" max="17" width="6.6640625" style="4" customWidth="1"/>
    <col min="18" max="18" width="1.5" style="3" customWidth="1"/>
    <col min="19" max="19" width="5.5" style="2" customWidth="1"/>
    <col min="20" max="20" width="1.5" style="3" customWidth="1"/>
    <col min="21" max="21" width="8.6640625" style="1" customWidth="1"/>
    <col min="22" max="22" width="11.5" style="3" customWidth="1"/>
    <col min="23" max="16384" width="8.6640625" style="1"/>
  </cols>
  <sheetData>
    <row r="1" spans="1:24" ht="9.75" hidden="1" customHeight="1" x14ac:dyDescent="0.15">
      <c r="G1" s="38" t="s">
        <v>0</v>
      </c>
      <c r="H1" s="27" t="s">
        <v>1</v>
      </c>
      <c r="I1" s="27">
        <f>IF(CountUnit&lt;&gt;"LOC",4,0.1)*0.999</f>
        <v>3.996</v>
      </c>
      <c r="P1" s="4" t="s">
        <v>2</v>
      </c>
      <c r="Q1" s="4" t="s">
        <v>2</v>
      </c>
      <c r="S1" s="2" t="s">
        <v>3</v>
      </c>
      <c r="U1" s="1" t="s">
        <v>4</v>
      </c>
      <c r="X1" s="29"/>
    </row>
    <row r="2" spans="1:24" ht="9.75" hidden="1" customHeight="1" x14ac:dyDescent="0.15">
      <c r="H2" s="27" t="s">
        <v>5</v>
      </c>
      <c r="I2" s="27">
        <f>IF(CountUnit&lt;&gt;"LOC",2,0.05)*0.999</f>
        <v>1.998</v>
      </c>
      <c r="P2" s="4" t="s">
        <v>6</v>
      </c>
      <c r="Q2" s="4" t="s">
        <v>6</v>
      </c>
      <c r="S2" s="2" t="s">
        <v>7</v>
      </c>
      <c r="U2" s="1" t="s">
        <v>8</v>
      </c>
      <c r="X2" s="29"/>
    </row>
    <row r="3" spans="1:24" ht="9.75" hidden="1" customHeight="1" x14ac:dyDescent="0.15">
      <c r="H3" s="27" t="s">
        <v>9</v>
      </c>
      <c r="I3" s="27">
        <f>IF(CountUnit&lt;&gt;"LOC",0.2,0.005)*0.999</f>
        <v>0.19980000000000001</v>
      </c>
      <c r="S3" s="2" t="s">
        <v>10</v>
      </c>
      <c r="X3" s="29"/>
    </row>
    <row r="4" spans="1:24" hidden="1" x14ac:dyDescent="0.15">
      <c r="S4" s="2" t="s">
        <v>11</v>
      </c>
      <c r="X4" s="29"/>
    </row>
    <row r="5" spans="1:24" ht="22.5" hidden="1" customHeight="1" x14ac:dyDescent="0.15">
      <c r="S5" s="2" t="s">
        <v>12</v>
      </c>
    </row>
    <row r="6" spans="1:24" ht="63" hidden="1" customHeight="1" x14ac:dyDescent="0.15">
      <c r="S6" s="2" t="s">
        <v>13</v>
      </c>
      <c r="U6" s="1" t="s">
        <v>14</v>
      </c>
    </row>
    <row r="7" spans="1:24" ht="40.5" hidden="1" customHeight="1" x14ac:dyDescent="0.15">
      <c r="K7" s="55"/>
      <c r="S7" s="2" t="s">
        <v>15</v>
      </c>
      <c r="U7" s="1" t="s">
        <v>16</v>
      </c>
    </row>
    <row r="8" spans="1:24" ht="16" x14ac:dyDescent="0.2">
      <c r="A8" s="65" t="s">
        <v>80</v>
      </c>
      <c r="B8" s="66"/>
      <c r="C8" s="66"/>
      <c r="D8" s="66"/>
      <c r="E8" s="66"/>
      <c r="F8" s="66"/>
      <c r="G8" s="66"/>
      <c r="H8" s="66"/>
      <c r="I8" s="66"/>
      <c r="J8" s="66"/>
      <c r="K8" s="66"/>
      <c r="L8" s="66"/>
      <c r="M8" s="66"/>
      <c r="N8" s="66"/>
      <c r="O8" s="66"/>
      <c r="P8" s="66"/>
      <c r="Q8" s="66"/>
      <c r="R8" s="66"/>
      <c r="S8" s="66"/>
      <c r="T8" s="66"/>
      <c r="U8" s="66"/>
      <c r="V8" s="67"/>
    </row>
    <row r="9" spans="1:24" ht="12.75" customHeight="1" x14ac:dyDescent="0.15">
      <c r="A9" s="76" t="s">
        <v>17</v>
      </c>
      <c r="B9" s="77"/>
      <c r="C9" s="77"/>
      <c r="D9" s="78"/>
      <c r="E9" s="68" t="s">
        <v>92</v>
      </c>
      <c r="F9" s="73"/>
      <c r="G9" s="71"/>
      <c r="H9" s="72"/>
      <c r="I9" s="72"/>
      <c r="J9" s="72"/>
      <c r="K9" s="73"/>
      <c r="L9" s="76" t="s">
        <v>18</v>
      </c>
      <c r="M9" s="77"/>
      <c r="N9" s="78"/>
      <c r="O9" s="68" t="s">
        <v>94</v>
      </c>
      <c r="P9" s="69"/>
      <c r="Q9" s="69"/>
      <c r="R9" s="69"/>
      <c r="S9" s="69"/>
      <c r="T9" s="69"/>
      <c r="U9" s="69"/>
      <c r="V9" s="70"/>
    </row>
    <row r="10" spans="1:24" ht="12.75" customHeight="1" x14ac:dyDescent="0.15">
      <c r="A10" s="76" t="s">
        <v>19</v>
      </c>
      <c r="B10" s="77"/>
      <c r="C10" s="77"/>
      <c r="D10" s="78"/>
      <c r="E10" s="68"/>
      <c r="F10" s="73"/>
      <c r="G10" s="74"/>
      <c r="H10" s="74"/>
      <c r="I10" s="74"/>
      <c r="J10" s="74"/>
      <c r="K10" s="75"/>
      <c r="L10" s="76" t="s">
        <v>20</v>
      </c>
      <c r="M10" s="77"/>
      <c r="N10" s="78"/>
      <c r="O10" s="68" t="s">
        <v>93</v>
      </c>
      <c r="P10" s="69"/>
      <c r="Q10" s="69"/>
      <c r="R10" s="69"/>
      <c r="S10" s="69"/>
      <c r="T10" s="69"/>
      <c r="U10" s="69"/>
      <c r="V10" s="70"/>
    </row>
    <row r="11" spans="1:24" ht="12.75" customHeight="1" x14ac:dyDescent="0.15">
      <c r="A11" s="76" t="s">
        <v>21</v>
      </c>
      <c r="B11" s="77"/>
      <c r="C11" s="77"/>
      <c r="D11" s="78"/>
      <c r="E11" s="68" t="s">
        <v>84</v>
      </c>
      <c r="F11" s="73"/>
      <c r="G11" s="74"/>
      <c r="H11" s="74"/>
      <c r="I11" s="74"/>
      <c r="J11" s="74"/>
      <c r="K11" s="75"/>
      <c r="L11" s="76"/>
      <c r="M11" s="77"/>
      <c r="N11" s="78"/>
      <c r="O11" s="68"/>
      <c r="P11" s="69"/>
      <c r="Q11" s="69"/>
      <c r="R11" s="69"/>
      <c r="S11" s="69"/>
      <c r="T11" s="69"/>
      <c r="U11" s="69"/>
      <c r="V11" s="70"/>
    </row>
    <row r="12" spans="1:24" ht="12.75" customHeight="1" x14ac:dyDescent="0.15">
      <c r="A12" s="76" t="s">
        <v>22</v>
      </c>
      <c r="B12" s="77"/>
      <c r="C12" s="77"/>
      <c r="D12" s="78"/>
      <c r="E12" s="68" t="s">
        <v>89</v>
      </c>
      <c r="F12" s="73"/>
      <c r="G12" s="79"/>
      <c r="H12" s="74"/>
      <c r="I12" s="74"/>
      <c r="J12" s="74"/>
      <c r="K12" s="75"/>
      <c r="L12" s="76" t="s">
        <v>23</v>
      </c>
      <c r="M12" s="77"/>
      <c r="N12" s="78"/>
      <c r="O12" s="69" t="s">
        <v>90</v>
      </c>
      <c r="P12" s="74"/>
      <c r="Q12" s="74"/>
      <c r="R12" s="74"/>
      <c r="S12" s="74"/>
      <c r="T12" s="74"/>
      <c r="U12" s="74"/>
      <c r="V12" s="75"/>
    </row>
    <row r="13" spans="1:24" ht="12.75" customHeight="1" x14ac:dyDescent="0.15">
      <c r="A13" s="24"/>
      <c r="B13" s="25" t="s">
        <v>24</v>
      </c>
      <c r="C13" s="25" t="s">
        <v>25</v>
      </c>
      <c r="D13" s="25"/>
      <c r="E13" s="5"/>
      <c r="F13" s="5"/>
      <c r="G13" s="5"/>
      <c r="H13" s="5"/>
      <c r="I13" s="5"/>
      <c r="J13" s="25"/>
      <c r="K13" s="7" t="s">
        <v>26</v>
      </c>
      <c r="L13" s="25"/>
      <c r="M13" s="7" t="s">
        <v>27</v>
      </c>
      <c r="N13" s="25"/>
      <c r="O13" s="7" t="s">
        <v>28</v>
      </c>
      <c r="P13" s="7" t="s">
        <v>29</v>
      </c>
      <c r="Q13" s="7" t="s">
        <v>30</v>
      </c>
      <c r="R13" s="25"/>
      <c r="S13" s="26"/>
      <c r="T13" s="25"/>
      <c r="U13" s="5"/>
      <c r="V13" s="6"/>
    </row>
    <row r="14" spans="1:24" ht="3" customHeight="1" x14ac:dyDescent="0.15">
      <c r="A14" s="10"/>
      <c r="B14" s="11"/>
      <c r="C14" s="11"/>
      <c r="D14" s="11"/>
      <c r="E14" s="12"/>
      <c r="F14" s="12"/>
      <c r="G14" s="12"/>
      <c r="H14" s="12"/>
      <c r="I14" s="12"/>
      <c r="J14" s="11"/>
      <c r="K14" s="13"/>
      <c r="L14" s="11"/>
      <c r="M14" s="13"/>
      <c r="N14" s="11"/>
      <c r="O14" s="13"/>
      <c r="P14" s="13"/>
      <c r="Q14" s="13"/>
      <c r="R14" s="11"/>
      <c r="S14" s="14"/>
      <c r="T14" s="11"/>
      <c r="U14" s="12"/>
      <c r="V14" s="15"/>
    </row>
    <row r="15" spans="1:24" ht="3" customHeight="1" x14ac:dyDescent="0.15">
      <c r="A15" s="16"/>
      <c r="B15" s="9"/>
      <c r="C15" s="9"/>
      <c r="D15" s="9"/>
      <c r="E15" s="8"/>
      <c r="F15" s="8"/>
      <c r="G15" s="8"/>
      <c r="H15" s="8"/>
      <c r="I15" s="8"/>
      <c r="J15" s="9"/>
      <c r="K15" s="19"/>
      <c r="L15" s="9"/>
      <c r="M15" s="19"/>
      <c r="N15" s="9"/>
      <c r="O15" s="19"/>
      <c r="P15" s="19"/>
      <c r="Q15" s="19"/>
      <c r="R15" s="9"/>
      <c r="S15" s="20"/>
      <c r="T15" s="9"/>
      <c r="U15" s="8"/>
      <c r="V15" s="18"/>
    </row>
    <row r="16" spans="1:24" ht="12.75" customHeight="1" x14ac:dyDescent="0.15">
      <c r="A16" s="16"/>
      <c r="B16" s="17"/>
      <c r="C16" s="17"/>
      <c r="D16" s="8"/>
      <c r="E16" s="8"/>
      <c r="F16" s="8"/>
      <c r="G16" s="8"/>
      <c r="H16" s="8"/>
      <c r="I16" s="8"/>
      <c r="J16" s="9"/>
      <c r="K16" s="8"/>
      <c r="L16" s="9"/>
      <c r="M16" s="19"/>
      <c r="N16" s="9"/>
      <c r="O16" s="19"/>
      <c r="P16" s="19"/>
      <c r="Q16" s="19"/>
      <c r="R16" s="9"/>
      <c r="S16" s="63"/>
      <c r="T16" s="9"/>
      <c r="U16" s="63"/>
      <c r="V16" s="18"/>
    </row>
    <row r="17" spans="1:22" ht="3" customHeight="1" x14ac:dyDescent="0.15">
      <c r="A17" s="16"/>
      <c r="B17" s="9"/>
      <c r="C17" s="9"/>
      <c r="D17" s="9"/>
      <c r="E17" s="8"/>
      <c r="F17" s="8"/>
      <c r="G17" s="8"/>
      <c r="H17" s="8"/>
      <c r="I17" s="8"/>
      <c r="J17" s="9"/>
      <c r="K17" s="19"/>
      <c r="L17" s="9"/>
      <c r="M17" s="19"/>
      <c r="N17" s="9"/>
      <c r="O17" s="19"/>
      <c r="P17" s="19"/>
      <c r="Q17" s="19"/>
      <c r="R17" s="9"/>
      <c r="S17" s="64"/>
      <c r="T17" s="9"/>
      <c r="U17" s="64"/>
      <c r="V17" s="18"/>
    </row>
    <row r="18" spans="1:22" ht="12.75" customHeight="1" x14ac:dyDescent="0.15">
      <c r="A18" s="16"/>
      <c r="B18" s="17" t="s">
        <v>31</v>
      </c>
      <c r="C18" s="17"/>
      <c r="D18" s="28" t="s">
        <v>32</v>
      </c>
      <c r="E18" s="80" t="s">
        <v>33</v>
      </c>
      <c r="F18" s="81"/>
      <c r="G18" s="37" t="s">
        <v>34</v>
      </c>
      <c r="H18" s="80" t="s">
        <v>35</v>
      </c>
      <c r="I18" s="82"/>
      <c r="J18" s="9"/>
      <c r="K18" s="37" t="s">
        <v>26</v>
      </c>
      <c r="L18" s="9"/>
      <c r="M18" s="28" t="s">
        <v>36</v>
      </c>
      <c r="N18" s="9"/>
      <c r="O18" s="19"/>
      <c r="P18" s="19"/>
      <c r="Q18" s="19"/>
      <c r="R18" s="9"/>
      <c r="S18" s="64"/>
      <c r="T18" s="9"/>
      <c r="U18" s="64"/>
      <c r="V18" s="18"/>
    </row>
    <row r="19" spans="1:22" ht="9.75" customHeight="1" x14ac:dyDescent="0.15">
      <c r="A19" s="21"/>
      <c r="B19" s="22"/>
      <c r="C19" s="22"/>
      <c r="D19" s="41"/>
      <c r="E19" s="60"/>
      <c r="F19" s="61"/>
      <c r="G19" s="41"/>
      <c r="H19" s="60"/>
      <c r="I19" s="61"/>
      <c r="J19" s="22"/>
      <c r="K19" s="55"/>
      <c r="L19" s="22"/>
      <c r="N19" s="22"/>
      <c r="O19" s="43">
        <v>0</v>
      </c>
      <c r="P19" s="43">
        <v>0</v>
      </c>
      <c r="Q19" s="43">
        <v>0</v>
      </c>
      <c r="R19" s="22"/>
      <c r="S19" s="20"/>
      <c r="T19" s="22"/>
      <c r="U19" s="20"/>
      <c r="V19" s="23"/>
    </row>
    <row r="20" spans="1:22" ht="10" customHeight="1" x14ac:dyDescent="0.15">
      <c r="A20" s="21"/>
      <c r="B20" s="22"/>
      <c r="C20" s="22"/>
      <c r="D20" s="41"/>
      <c r="E20" s="60"/>
      <c r="F20" s="61"/>
      <c r="G20" s="41"/>
      <c r="H20" s="60"/>
      <c r="I20" s="61"/>
      <c r="J20" s="22"/>
      <c r="K20" s="55"/>
      <c r="L20" s="22"/>
      <c r="N20" s="22"/>
      <c r="O20" s="44">
        <v>0</v>
      </c>
      <c r="P20" s="43">
        <v>0</v>
      </c>
      <c r="Q20" s="43">
        <v>0</v>
      </c>
      <c r="R20" s="22"/>
      <c r="S20" s="20"/>
      <c r="T20" s="22"/>
      <c r="U20" s="20"/>
      <c r="V20" s="23"/>
    </row>
    <row r="21" spans="1:22" ht="10" customHeight="1" x14ac:dyDescent="0.15">
      <c r="A21" s="21"/>
      <c r="B21" s="22"/>
      <c r="C21" s="22"/>
      <c r="D21" s="41" t="s">
        <v>87</v>
      </c>
      <c r="E21" s="60" t="s">
        <v>88</v>
      </c>
      <c r="F21" s="61"/>
      <c r="G21" s="41" t="s">
        <v>86</v>
      </c>
      <c r="H21" s="60" t="s">
        <v>91</v>
      </c>
      <c r="I21" s="61"/>
      <c r="J21" s="22"/>
      <c r="K21" s="55"/>
      <c r="L21" s="22"/>
      <c r="N21" s="22"/>
      <c r="O21" s="43">
        <v>0</v>
      </c>
      <c r="P21" s="43">
        <v>0</v>
      </c>
      <c r="Q21" s="43">
        <v>0</v>
      </c>
      <c r="R21" s="22"/>
      <c r="S21" s="20"/>
      <c r="T21" s="22"/>
      <c r="U21" s="20"/>
      <c r="V21" s="23"/>
    </row>
    <row r="22" spans="1:22" ht="10" customHeight="1" x14ac:dyDescent="0.15">
      <c r="A22" s="21"/>
      <c r="B22" s="22"/>
      <c r="C22" s="22"/>
      <c r="D22" s="41" t="s">
        <v>83</v>
      </c>
      <c r="E22" s="60" t="s">
        <v>84</v>
      </c>
      <c r="F22" s="61"/>
      <c r="G22" s="41" t="s">
        <v>81</v>
      </c>
      <c r="H22" s="60" t="s">
        <v>85</v>
      </c>
      <c r="I22" s="61"/>
      <c r="J22" s="22"/>
      <c r="K22" s="55"/>
      <c r="L22" s="22"/>
      <c r="N22" s="22"/>
      <c r="O22" s="43">
        <v>0</v>
      </c>
      <c r="P22" s="43">
        <v>0</v>
      </c>
      <c r="Q22" s="43">
        <v>0</v>
      </c>
      <c r="R22" s="22"/>
      <c r="S22" s="20"/>
      <c r="T22" s="22"/>
      <c r="U22" s="20"/>
      <c r="V22" s="23"/>
    </row>
    <row r="23" spans="1:22" ht="10" customHeight="1" x14ac:dyDescent="0.15">
      <c r="A23" s="21"/>
      <c r="B23" s="22"/>
      <c r="C23" s="22"/>
      <c r="D23" s="41" t="s">
        <v>96</v>
      </c>
      <c r="E23" s="60" t="s">
        <v>97</v>
      </c>
      <c r="F23" s="61"/>
      <c r="G23" s="41" t="s">
        <v>98</v>
      </c>
      <c r="H23" s="60" t="s">
        <v>91</v>
      </c>
      <c r="I23" s="61"/>
      <c r="J23" s="22"/>
      <c r="K23" s="55"/>
      <c r="L23" s="22"/>
      <c r="N23" s="22"/>
      <c r="O23" s="43">
        <v>0</v>
      </c>
      <c r="P23" s="43">
        <v>0</v>
      </c>
      <c r="Q23" s="43">
        <v>0</v>
      </c>
      <c r="R23" s="22"/>
      <c r="S23" s="20"/>
      <c r="T23" s="22"/>
      <c r="U23" s="20"/>
      <c r="V23" s="23"/>
    </row>
    <row r="24" spans="1:22" ht="10" customHeight="1" x14ac:dyDescent="0.15">
      <c r="A24" s="21"/>
      <c r="B24" s="22"/>
      <c r="C24" s="22"/>
      <c r="D24" s="41"/>
      <c r="E24" s="60"/>
      <c r="F24" s="61"/>
      <c r="G24" s="41"/>
      <c r="H24" s="60"/>
      <c r="I24" s="61"/>
      <c r="J24" s="22"/>
      <c r="K24" s="55"/>
      <c r="L24" s="22"/>
      <c r="N24" s="22"/>
      <c r="O24" s="43">
        <v>0</v>
      </c>
      <c r="P24" s="43">
        <v>0</v>
      </c>
      <c r="Q24" s="43">
        <v>0</v>
      </c>
      <c r="R24" s="22"/>
      <c r="S24" s="20"/>
      <c r="T24" s="22"/>
      <c r="U24" s="20"/>
      <c r="V24" s="23"/>
    </row>
    <row r="25" spans="1:22" ht="10" customHeight="1" x14ac:dyDescent="0.15">
      <c r="A25" s="21"/>
      <c r="B25" s="22"/>
      <c r="C25" s="22"/>
      <c r="D25" s="41"/>
      <c r="E25" s="60"/>
      <c r="F25" s="61"/>
      <c r="G25" s="41"/>
      <c r="H25" s="60"/>
      <c r="I25" s="61"/>
      <c r="J25" s="22"/>
      <c r="K25" s="55"/>
      <c r="L25" s="22"/>
      <c r="N25" s="22"/>
      <c r="O25" s="43">
        <v>0</v>
      </c>
      <c r="P25" s="43">
        <v>0</v>
      </c>
      <c r="Q25" s="43">
        <v>0</v>
      </c>
      <c r="R25" s="22"/>
      <c r="S25" s="20"/>
      <c r="T25" s="22"/>
      <c r="U25" s="20"/>
      <c r="V25" s="23"/>
    </row>
    <row r="26" spans="1:22" ht="10" customHeight="1" x14ac:dyDescent="0.15">
      <c r="A26" s="21"/>
      <c r="B26" s="22"/>
      <c r="C26" s="22"/>
      <c r="D26" s="41"/>
      <c r="E26" s="60"/>
      <c r="F26" s="61"/>
      <c r="G26" s="41"/>
      <c r="H26" s="60"/>
      <c r="I26" s="61"/>
      <c r="J26" s="22"/>
      <c r="K26" s="55"/>
      <c r="L26" s="22"/>
      <c r="N26" s="22"/>
      <c r="O26" s="43">
        <v>0</v>
      </c>
      <c r="P26" s="43">
        <v>0</v>
      </c>
      <c r="Q26" s="43">
        <v>0</v>
      </c>
      <c r="R26" s="22"/>
      <c r="S26" s="20"/>
      <c r="T26" s="22"/>
      <c r="U26" s="20"/>
      <c r="V26" s="23"/>
    </row>
    <row r="27" spans="1:22" ht="10" customHeight="1" x14ac:dyDescent="0.15">
      <c r="A27" s="21"/>
      <c r="B27" s="22"/>
      <c r="C27" s="22"/>
      <c r="D27" s="41"/>
      <c r="E27" s="60"/>
      <c r="F27" s="61"/>
      <c r="G27" s="41"/>
      <c r="H27" s="60"/>
      <c r="I27" s="61"/>
      <c r="J27" s="22"/>
      <c r="K27" s="55"/>
      <c r="L27" s="22"/>
      <c r="N27" s="22"/>
      <c r="O27" s="43">
        <v>0</v>
      </c>
      <c r="P27" s="43">
        <v>0</v>
      </c>
      <c r="Q27" s="43">
        <v>0</v>
      </c>
      <c r="R27" s="22"/>
      <c r="S27" s="20"/>
      <c r="T27" s="22"/>
      <c r="U27" s="20"/>
      <c r="V27" s="23"/>
    </row>
    <row r="28" spans="1:22" ht="10" customHeight="1" x14ac:dyDescent="0.15">
      <c r="A28" s="21"/>
      <c r="B28" s="22"/>
      <c r="C28" s="22"/>
      <c r="D28" s="41"/>
      <c r="E28" s="60"/>
      <c r="F28" s="61"/>
      <c r="G28" s="41"/>
      <c r="H28" s="60"/>
      <c r="I28" s="61"/>
      <c r="J28" s="22"/>
      <c r="K28" s="55"/>
      <c r="L28" s="22"/>
      <c r="N28" s="22"/>
      <c r="O28" s="43">
        <v>0</v>
      </c>
      <c r="P28" s="43">
        <v>0</v>
      </c>
      <c r="Q28" s="43">
        <v>0</v>
      </c>
      <c r="R28" s="22"/>
      <c r="S28" s="20"/>
      <c r="T28" s="22"/>
      <c r="U28" s="20"/>
      <c r="V28" s="23"/>
    </row>
    <row r="29" spans="1:22" ht="10" customHeight="1" x14ac:dyDescent="0.15">
      <c r="A29" s="21"/>
      <c r="B29" s="22"/>
      <c r="C29" s="22"/>
      <c r="D29" s="41"/>
      <c r="E29" s="60"/>
      <c r="F29" s="61"/>
      <c r="G29" s="41"/>
      <c r="H29" s="60"/>
      <c r="I29" s="61"/>
      <c r="J29" s="22"/>
      <c r="K29" s="55"/>
      <c r="L29" s="22"/>
      <c r="N29" s="22"/>
      <c r="O29" s="43">
        <v>0</v>
      </c>
      <c r="P29" s="43">
        <v>0</v>
      </c>
      <c r="Q29" s="43">
        <v>0</v>
      </c>
      <c r="R29" s="22"/>
      <c r="S29" s="20"/>
      <c r="T29" s="22"/>
      <c r="U29" s="20"/>
      <c r="V29" s="23"/>
    </row>
    <row r="30" spans="1:22" ht="10" customHeight="1" x14ac:dyDescent="0.15">
      <c r="A30" s="21"/>
      <c r="B30" s="22"/>
      <c r="C30" s="22"/>
      <c r="D30" s="41"/>
      <c r="E30" s="60"/>
      <c r="F30" s="61"/>
      <c r="G30" s="41"/>
      <c r="H30" s="60"/>
      <c r="I30" s="61"/>
      <c r="J30" s="22"/>
      <c r="K30" s="55"/>
      <c r="L30" s="22"/>
      <c r="N30" s="22"/>
      <c r="O30" s="43">
        <v>0</v>
      </c>
      <c r="P30" s="43">
        <v>0</v>
      </c>
      <c r="Q30" s="43">
        <v>0</v>
      </c>
      <c r="R30" s="22"/>
      <c r="S30" s="20"/>
      <c r="T30" s="22"/>
      <c r="U30" s="20"/>
      <c r="V30" s="23"/>
    </row>
    <row r="31" spans="1:22" ht="10" customHeight="1" x14ac:dyDescent="0.15">
      <c r="A31" s="21"/>
      <c r="B31" s="22"/>
      <c r="C31" s="22"/>
      <c r="D31" s="41"/>
      <c r="E31" s="60"/>
      <c r="F31" s="61"/>
      <c r="G31" s="41"/>
      <c r="H31" s="60"/>
      <c r="I31" s="61"/>
      <c r="J31" s="22"/>
      <c r="K31" s="55"/>
      <c r="L31" s="22"/>
      <c r="N31" s="22"/>
      <c r="O31" s="43">
        <v>0</v>
      </c>
      <c r="P31" s="43">
        <v>0</v>
      </c>
      <c r="Q31" s="43">
        <v>0</v>
      </c>
      <c r="R31" s="22"/>
      <c r="S31" s="20"/>
      <c r="T31" s="22"/>
      <c r="U31" s="20"/>
      <c r="V31" s="23"/>
    </row>
    <row r="32" spans="1:22" ht="10" customHeight="1" x14ac:dyDescent="0.15">
      <c r="A32" s="21"/>
      <c r="B32" s="22"/>
      <c r="C32" s="22"/>
      <c r="D32" s="41"/>
      <c r="E32" s="60"/>
      <c r="F32" s="61"/>
      <c r="G32" s="41"/>
      <c r="H32" s="60"/>
      <c r="I32" s="61"/>
      <c r="J32" s="22"/>
      <c r="K32" s="55"/>
      <c r="L32" s="22"/>
      <c r="N32" s="22"/>
      <c r="O32" s="43">
        <v>0</v>
      </c>
      <c r="P32" s="43">
        <v>0</v>
      </c>
      <c r="Q32" s="43">
        <v>0</v>
      </c>
      <c r="R32" s="22"/>
      <c r="S32" s="20"/>
      <c r="T32" s="22"/>
      <c r="U32" s="20"/>
      <c r="V32" s="23"/>
    </row>
    <row r="33" spans="1:22" ht="10" customHeight="1" x14ac:dyDescent="0.15">
      <c r="A33" s="21"/>
      <c r="B33" s="22"/>
      <c r="C33" s="22"/>
      <c r="D33" s="41"/>
      <c r="E33" s="60"/>
      <c r="F33" s="61"/>
      <c r="G33" s="41"/>
      <c r="H33" s="60"/>
      <c r="I33" s="61"/>
      <c r="J33" s="22"/>
      <c r="K33" s="55"/>
      <c r="L33" s="22"/>
      <c r="N33" s="22"/>
      <c r="O33" s="43">
        <v>0</v>
      </c>
      <c r="P33" s="43">
        <v>0</v>
      </c>
      <c r="Q33" s="43">
        <v>0</v>
      </c>
      <c r="R33" s="22"/>
      <c r="S33" s="20"/>
      <c r="T33" s="22"/>
      <c r="U33" s="20"/>
      <c r="V33" s="23"/>
    </row>
    <row r="34" spans="1:22" ht="10" customHeight="1" x14ac:dyDescent="0.15">
      <c r="A34" s="21"/>
      <c r="B34" s="22"/>
      <c r="C34" s="22"/>
      <c r="D34" s="41"/>
      <c r="E34" s="60"/>
      <c r="F34" s="61"/>
      <c r="G34" s="41"/>
      <c r="H34" s="60"/>
      <c r="I34" s="61"/>
      <c r="J34" s="22"/>
      <c r="K34" s="55"/>
      <c r="L34" s="22"/>
      <c r="N34" s="22"/>
      <c r="O34" s="43">
        <v>0</v>
      </c>
      <c r="P34" s="43">
        <v>0</v>
      </c>
      <c r="Q34" s="43">
        <v>0</v>
      </c>
      <c r="R34" s="22"/>
      <c r="S34" s="20"/>
      <c r="T34" s="22"/>
      <c r="U34" s="20"/>
      <c r="V34" s="23"/>
    </row>
    <row r="35" spans="1:22" ht="10" customHeight="1" x14ac:dyDescent="0.15">
      <c r="A35" s="21"/>
      <c r="B35" s="22"/>
      <c r="C35" s="22"/>
      <c r="D35" s="41"/>
      <c r="E35" s="60"/>
      <c r="F35" s="61"/>
      <c r="G35" s="41"/>
      <c r="H35" s="60"/>
      <c r="I35" s="61"/>
      <c r="J35" s="22"/>
      <c r="K35" s="55"/>
      <c r="L35" s="22"/>
      <c r="N35" s="22"/>
      <c r="O35" s="43">
        <v>0</v>
      </c>
      <c r="P35" s="43">
        <v>0</v>
      </c>
      <c r="Q35" s="43">
        <v>0</v>
      </c>
      <c r="R35" s="22"/>
      <c r="S35" s="20"/>
      <c r="T35" s="22"/>
      <c r="U35" s="20"/>
      <c r="V35" s="23"/>
    </row>
    <row r="36" spans="1:22" ht="10" customHeight="1" x14ac:dyDescent="0.15">
      <c r="A36" s="21"/>
      <c r="B36" s="22"/>
      <c r="C36" s="22"/>
      <c r="D36" s="41"/>
      <c r="E36" s="60"/>
      <c r="F36" s="61"/>
      <c r="G36" s="41"/>
      <c r="H36" s="60"/>
      <c r="I36" s="61"/>
      <c r="J36" s="22"/>
      <c r="K36" s="55"/>
      <c r="L36" s="22"/>
      <c r="N36" s="22"/>
      <c r="O36" s="43">
        <v>0</v>
      </c>
      <c r="P36" s="43">
        <v>0</v>
      </c>
      <c r="Q36" s="43">
        <v>0</v>
      </c>
      <c r="R36" s="22"/>
      <c r="S36" s="20"/>
      <c r="T36" s="22"/>
      <c r="U36" s="20"/>
      <c r="V36" s="23"/>
    </row>
    <row r="37" spans="1:22" ht="10" customHeight="1" x14ac:dyDescent="0.15">
      <c r="A37" s="21"/>
      <c r="B37" s="22"/>
      <c r="C37" s="22"/>
      <c r="D37" s="41"/>
      <c r="E37" s="60"/>
      <c r="F37" s="61"/>
      <c r="G37" s="41"/>
      <c r="H37" s="60"/>
      <c r="I37" s="61"/>
      <c r="J37" s="22"/>
      <c r="K37" s="55"/>
      <c r="L37" s="22"/>
      <c r="N37" s="22"/>
      <c r="O37" s="43">
        <v>0</v>
      </c>
      <c r="P37" s="43">
        <v>0</v>
      </c>
      <c r="Q37" s="43">
        <v>0</v>
      </c>
      <c r="R37" s="22"/>
      <c r="S37" s="20"/>
      <c r="T37" s="22"/>
      <c r="U37" s="20"/>
      <c r="V37" s="23"/>
    </row>
    <row r="38" spans="1:22" ht="10" customHeight="1" thickBot="1" x14ac:dyDescent="0.2">
      <c r="A38" s="21"/>
      <c r="B38" s="22"/>
      <c r="C38" s="22"/>
      <c r="D38" s="41"/>
      <c r="E38" s="60"/>
      <c r="F38" s="61"/>
      <c r="G38" s="41"/>
      <c r="H38" s="60"/>
      <c r="I38" s="61"/>
      <c r="J38" s="22"/>
      <c r="K38" s="55"/>
      <c r="L38" s="22"/>
      <c r="N38" s="22"/>
      <c r="O38" s="43">
        <v>0</v>
      </c>
      <c r="P38" s="43">
        <v>0</v>
      </c>
      <c r="Q38" s="43">
        <v>0</v>
      </c>
      <c r="R38" s="22"/>
      <c r="S38" s="20"/>
      <c r="T38" s="22"/>
      <c r="U38" s="20"/>
      <c r="V38" s="23"/>
    </row>
    <row r="39" spans="1:22" ht="12.75" customHeight="1" thickTop="1" x14ac:dyDescent="0.15">
      <c r="A39" s="16"/>
      <c r="B39" s="9"/>
      <c r="C39" s="9"/>
      <c r="D39" s="9"/>
      <c r="E39" s="8"/>
      <c r="F39" s="8"/>
      <c r="G39" s="8"/>
      <c r="H39" s="8"/>
      <c r="I39" s="8"/>
      <c r="J39" s="9"/>
      <c r="K39" s="42">
        <f>SUM(K19:K38)</f>
        <v>0</v>
      </c>
      <c r="L39" s="9"/>
      <c r="M39" s="42">
        <f>SUM(M19:M38)</f>
        <v>0</v>
      </c>
      <c r="N39" s="9"/>
      <c r="O39" s="42">
        <f>SUM(O19:O38)</f>
        <v>0</v>
      </c>
      <c r="P39" s="42">
        <f>SUM(P19:P38)</f>
        <v>0</v>
      </c>
      <c r="Q39" s="42">
        <f>SUM(Q19:Q38)</f>
        <v>0</v>
      </c>
      <c r="R39" s="9"/>
      <c r="S39" s="20"/>
      <c r="T39" s="9"/>
      <c r="U39" s="20"/>
      <c r="V39" s="18"/>
    </row>
    <row r="40" spans="1:22" ht="3" customHeight="1" x14ac:dyDescent="0.15">
      <c r="A40" s="16"/>
      <c r="B40" s="9"/>
      <c r="C40" s="9"/>
      <c r="D40" s="9"/>
      <c r="E40" s="8"/>
      <c r="F40" s="8"/>
      <c r="G40" s="8"/>
      <c r="H40" s="8"/>
      <c r="I40" s="8"/>
      <c r="J40" s="9"/>
      <c r="K40" s="19"/>
      <c r="L40" s="9"/>
      <c r="M40" s="19"/>
      <c r="N40" s="9"/>
      <c r="O40" s="19"/>
      <c r="P40" s="19"/>
      <c r="Q40" s="19"/>
      <c r="R40" s="9"/>
      <c r="S40" s="20"/>
      <c r="T40" s="9"/>
      <c r="U40" s="20"/>
      <c r="V40" s="18"/>
    </row>
    <row r="41" spans="1:22" ht="12.75" customHeight="1" x14ac:dyDescent="0.15">
      <c r="A41" s="16"/>
      <c r="B41" s="17"/>
      <c r="C41" s="8" t="s">
        <v>25</v>
      </c>
      <c r="D41" s="9" t="s">
        <v>37</v>
      </c>
      <c r="E41" s="8"/>
      <c r="F41" s="8"/>
      <c r="G41" s="8"/>
      <c r="H41" s="8"/>
      <c r="I41" s="8"/>
      <c r="J41" s="9"/>
      <c r="K41" s="19"/>
      <c r="L41" s="9"/>
      <c r="M41" s="19"/>
      <c r="N41" s="9"/>
      <c r="O41" s="19"/>
      <c r="P41" s="19"/>
      <c r="Q41" s="19"/>
      <c r="R41" s="9"/>
      <c r="S41" s="20"/>
      <c r="T41" s="9"/>
      <c r="U41" s="20"/>
      <c r="V41" s="18"/>
    </row>
    <row r="42" spans="1:22" ht="12.75" customHeight="1" x14ac:dyDescent="0.15">
      <c r="A42" s="16"/>
      <c r="B42" s="17" t="s">
        <v>38</v>
      </c>
      <c r="C42" s="45"/>
      <c r="D42" s="45"/>
      <c r="E42" s="8"/>
      <c r="F42" s="9"/>
      <c r="G42" s="20"/>
      <c r="H42" s="8"/>
      <c r="I42" s="9"/>
      <c r="J42" s="9"/>
      <c r="K42" s="20"/>
      <c r="L42" s="9"/>
      <c r="M42" s="9"/>
      <c r="N42" s="9"/>
      <c r="O42" s="20"/>
      <c r="P42" s="9"/>
      <c r="Q42" s="9"/>
      <c r="R42" s="20"/>
      <c r="S42" s="9"/>
      <c r="T42" s="9"/>
      <c r="U42" s="20"/>
      <c r="V42" s="18"/>
    </row>
    <row r="43" spans="1:22" ht="12.75" customHeight="1" x14ac:dyDescent="0.15">
      <c r="A43" s="16"/>
      <c r="B43" s="9"/>
      <c r="C43" s="9" t="s">
        <v>25</v>
      </c>
      <c r="D43" s="9"/>
      <c r="E43" s="8"/>
      <c r="F43" s="62"/>
      <c r="G43" s="62"/>
      <c r="H43" s="8"/>
      <c r="I43" s="8"/>
      <c r="J43" s="9"/>
      <c r="K43" s="20"/>
      <c r="L43" s="9"/>
      <c r="M43" s="8"/>
      <c r="N43" s="9"/>
      <c r="O43" s="20"/>
      <c r="P43" s="8"/>
      <c r="Q43" s="9"/>
      <c r="R43" s="20"/>
      <c r="S43" s="8"/>
      <c r="T43" s="9"/>
      <c r="U43" s="20"/>
      <c r="V43" s="18"/>
    </row>
    <row r="44" spans="1:22" ht="3" customHeight="1" x14ac:dyDescent="0.15">
      <c r="A44" s="16"/>
      <c r="B44" s="9"/>
      <c r="C44" s="9"/>
      <c r="D44" s="9"/>
      <c r="E44" s="8"/>
      <c r="F44" s="8"/>
      <c r="G44" s="8"/>
      <c r="H44" s="8"/>
      <c r="I44" s="8"/>
      <c r="J44" s="9"/>
      <c r="K44" s="20"/>
      <c r="L44" s="9"/>
      <c r="M44" s="8"/>
      <c r="N44" s="9"/>
      <c r="O44" s="20"/>
      <c r="P44" s="8"/>
      <c r="Q44" s="9"/>
      <c r="R44" s="20"/>
      <c r="S44" s="8"/>
      <c r="T44" s="9"/>
      <c r="U44" s="20"/>
      <c r="V44" s="18"/>
    </row>
    <row r="45" spans="1:22" ht="12.75" customHeight="1" x14ac:dyDescent="0.15">
      <c r="A45" s="16"/>
      <c r="B45" s="17" t="s">
        <v>39</v>
      </c>
      <c r="C45" s="45"/>
      <c r="D45" s="9"/>
      <c r="E45" s="8"/>
      <c r="F45" s="8"/>
      <c r="G45" s="8"/>
      <c r="H45" s="8"/>
      <c r="I45" s="8"/>
      <c r="J45" s="9"/>
      <c r="K45" s="20"/>
      <c r="L45" s="9"/>
      <c r="M45" s="9"/>
      <c r="N45" s="9"/>
      <c r="O45" s="20"/>
      <c r="P45" s="9"/>
      <c r="Q45" s="9"/>
      <c r="R45" s="20"/>
      <c r="S45" s="9"/>
      <c r="T45" s="9"/>
      <c r="U45" s="20"/>
      <c r="V45" s="18"/>
    </row>
    <row r="46" spans="1:22" ht="3" customHeight="1" x14ac:dyDescent="0.15">
      <c r="A46" s="16"/>
      <c r="B46" s="9"/>
      <c r="C46" s="9"/>
      <c r="D46" s="9"/>
      <c r="E46" s="8"/>
      <c r="F46" s="8"/>
      <c r="G46" s="8"/>
      <c r="H46" s="8"/>
      <c r="I46" s="8"/>
      <c r="J46" s="9"/>
      <c r="K46" s="20"/>
      <c r="L46" s="9"/>
      <c r="M46" s="8"/>
      <c r="N46" s="9"/>
      <c r="O46" s="20"/>
      <c r="P46" s="8"/>
      <c r="Q46" s="9"/>
      <c r="R46" s="20"/>
      <c r="S46" s="8"/>
      <c r="T46" s="9"/>
      <c r="U46" s="20"/>
      <c r="V46" s="18"/>
    </row>
    <row r="47" spans="1:22" ht="12.75" customHeight="1" x14ac:dyDescent="0.15">
      <c r="A47" s="16"/>
      <c r="B47" s="17" t="s">
        <v>40</v>
      </c>
      <c r="C47" s="45"/>
      <c r="D47" s="9"/>
      <c r="E47" s="8"/>
      <c r="F47" s="8"/>
      <c r="G47" s="8"/>
      <c r="H47" s="8"/>
      <c r="I47" s="8"/>
      <c r="J47" s="9"/>
      <c r="K47" s="20"/>
      <c r="L47" s="9"/>
      <c r="M47" s="8"/>
      <c r="N47" s="9"/>
      <c r="O47" s="20"/>
      <c r="P47" s="8"/>
      <c r="Q47" s="9"/>
      <c r="R47" s="20"/>
      <c r="S47" s="8"/>
      <c r="T47" s="9"/>
      <c r="U47" s="20"/>
      <c r="V47" s="18"/>
    </row>
    <row r="48" spans="1:22" ht="3" customHeight="1" x14ac:dyDescent="0.15">
      <c r="A48" s="16"/>
      <c r="B48" s="9"/>
      <c r="C48" s="9"/>
      <c r="D48" s="9"/>
      <c r="E48" s="8"/>
      <c r="F48" s="8"/>
      <c r="G48" s="8"/>
      <c r="H48" s="8"/>
      <c r="I48" s="8"/>
      <c r="J48" s="9"/>
      <c r="K48" s="19"/>
      <c r="L48" s="9"/>
      <c r="M48" s="19"/>
      <c r="N48" s="9"/>
      <c r="O48" s="19"/>
      <c r="P48" s="19"/>
      <c r="Q48" s="19"/>
      <c r="R48" s="9"/>
      <c r="S48" s="20"/>
      <c r="T48" s="9"/>
      <c r="U48" s="8"/>
      <c r="V48" s="18"/>
    </row>
    <row r="49" spans="1:22" ht="12.75" customHeight="1" x14ac:dyDescent="0.15">
      <c r="A49" s="16"/>
      <c r="B49" s="17" t="s">
        <v>41</v>
      </c>
      <c r="C49" s="17"/>
      <c r="D49" s="9"/>
      <c r="E49" s="8"/>
      <c r="F49" s="8"/>
      <c r="G49" s="8"/>
      <c r="H49" s="8"/>
      <c r="I49" s="8"/>
      <c r="J49" s="9"/>
      <c r="K49" s="19"/>
      <c r="L49" s="9"/>
      <c r="M49" s="19"/>
      <c r="N49" s="9"/>
      <c r="O49" s="19"/>
      <c r="P49" s="19"/>
      <c r="Q49" s="19"/>
      <c r="R49" s="9"/>
      <c r="S49" s="20"/>
      <c r="T49" s="9"/>
      <c r="U49" s="8"/>
      <c r="V49" s="18"/>
    </row>
    <row r="50" spans="1:22" ht="90" customHeight="1" x14ac:dyDescent="0.15">
      <c r="A50" s="57" t="s">
        <v>82</v>
      </c>
      <c r="B50" s="58"/>
      <c r="C50" s="58"/>
      <c r="D50" s="58"/>
      <c r="E50" s="58"/>
      <c r="F50" s="58"/>
      <c r="G50" s="58"/>
      <c r="H50" s="58"/>
      <c r="I50" s="58"/>
      <c r="J50" s="59"/>
      <c r="K50" s="58"/>
      <c r="L50" s="58"/>
      <c r="M50" s="58"/>
      <c r="N50" s="58"/>
      <c r="O50" s="58"/>
      <c r="P50" s="58"/>
      <c r="Q50" s="58"/>
      <c r="R50" s="58"/>
      <c r="S50" s="58"/>
      <c r="T50" s="58"/>
      <c r="U50" s="58"/>
      <c r="V50" s="59"/>
    </row>
  </sheetData>
  <mergeCells count="68">
    <mergeCell ref="E21:F21"/>
    <mergeCell ref="E19:F19"/>
    <mergeCell ref="E22:F22"/>
    <mergeCell ref="O12:V12"/>
    <mergeCell ref="E18:F18"/>
    <mergeCell ref="H18:I18"/>
    <mergeCell ref="E20:F20"/>
    <mergeCell ref="A12:D12"/>
    <mergeCell ref="L9:N9"/>
    <mergeCell ref="L10:N10"/>
    <mergeCell ref="L11:N11"/>
    <mergeCell ref="L12:N12"/>
    <mergeCell ref="E12:F12"/>
    <mergeCell ref="G12:K12"/>
    <mergeCell ref="A8:V8"/>
    <mergeCell ref="O9:V9"/>
    <mergeCell ref="O10:V10"/>
    <mergeCell ref="O11:V11"/>
    <mergeCell ref="G9:K9"/>
    <mergeCell ref="G10:K10"/>
    <mergeCell ref="G11:K11"/>
    <mergeCell ref="E9:F9"/>
    <mergeCell ref="E10:F10"/>
    <mergeCell ref="E11:F11"/>
    <mergeCell ref="A9:D9"/>
    <mergeCell ref="A10:D10"/>
    <mergeCell ref="A11:D11"/>
    <mergeCell ref="H33:I33"/>
    <mergeCell ref="H34:I34"/>
    <mergeCell ref="E25:F25"/>
    <mergeCell ref="E23:F23"/>
    <mergeCell ref="E24:F24"/>
    <mergeCell ref="E33:F33"/>
    <mergeCell ref="E34:F34"/>
    <mergeCell ref="H27:I27"/>
    <mergeCell ref="H28:I28"/>
    <mergeCell ref="E26:F26"/>
    <mergeCell ref="E27:F27"/>
    <mergeCell ref="E28:F28"/>
    <mergeCell ref="E29:F29"/>
    <mergeCell ref="E30:F30"/>
    <mergeCell ref="E32:F32"/>
    <mergeCell ref="E31:F31"/>
    <mergeCell ref="H29:I29"/>
    <mergeCell ref="H30:I30"/>
    <mergeCell ref="H31:I31"/>
    <mergeCell ref="H32:I32"/>
    <mergeCell ref="U16:U18"/>
    <mergeCell ref="H23:I23"/>
    <mergeCell ref="H24:I24"/>
    <mergeCell ref="S16:S18"/>
    <mergeCell ref="H22:I22"/>
    <mergeCell ref="H25:I25"/>
    <mergeCell ref="H26:I26"/>
    <mergeCell ref="H21:I21"/>
    <mergeCell ref="H20:I20"/>
    <mergeCell ref="H19:I19"/>
    <mergeCell ref="A50:J50"/>
    <mergeCell ref="E37:F37"/>
    <mergeCell ref="E35:F35"/>
    <mergeCell ref="K50:V50"/>
    <mergeCell ref="H35:I35"/>
    <mergeCell ref="H36:I36"/>
    <mergeCell ref="H37:I37"/>
    <mergeCell ref="H38:I38"/>
    <mergeCell ref="F43:G43"/>
    <mergeCell ref="E36:F36"/>
    <mergeCell ref="E38:F38"/>
  </mergeCells>
  <phoneticPr fontId="0" type="noConversion"/>
  <conditionalFormatting sqref="C42:D42 C45 C47">
    <cfRule type="cellIs" dxfId="1" priority="11" stopIfTrue="1" operator="greaterThan">
      <formula>0</formula>
    </cfRule>
  </conditionalFormatting>
  <conditionalFormatting sqref="O19:Q38">
    <cfRule type="cellIs" dxfId="0" priority="12" stopIfTrue="1" operator="notEqual">
      <formula>""</formula>
    </cfRule>
  </conditionalFormatting>
  <dataValidations disablePrompts="1" count="1">
    <dataValidation type="list" allowBlank="1" showInputMessage="1" showErrorMessage="1" sqref="A26:A40">
      <formula1>$A$1:$A$3</formula1>
    </dataValidation>
  </dataValidations>
  <pageMargins left="0.5" right="0.4" top="0.5" bottom="0.4" header="0.3" footer="0.2"/>
  <pageSetup paperSize="9" scale="97" orientation="landscape" r:id="rId1"/>
  <headerFooter alignWithMargins="0">
    <oddHeader>&amp;L&amp;F&amp;R&amp;A</oddHeader>
    <oddFooter>&amp;L&amp;D &amp;T&amp;R&amp;P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ountDefs">
                <anchor moveWithCells="1" sizeWithCells="1">
                  <from>
                    <xdr:col>14</xdr:col>
                    <xdr:colOff>139700</xdr:colOff>
                    <xdr:row>15</xdr:row>
                    <xdr:rowOff>101600</xdr:rowOff>
                  </from>
                  <to>
                    <xdr:col>17</xdr:col>
                    <xdr:colOff>0</xdr:colOff>
                    <xdr:row>17</xdr:row>
                    <xdr:rowOff>101600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L27"/>
  <sheetViews>
    <sheetView tabSelected="1" workbookViewId="0">
      <pane ySplit="26" topLeftCell="A27" activePane="bottomLeft" state="frozen"/>
      <selection activeCell="A8" sqref="A8:V8"/>
      <selection pane="bottomLeft" activeCell="I24" sqref="I24"/>
    </sheetView>
  </sheetViews>
  <sheetFormatPr baseColWidth="10" defaultColWidth="6.6640625" defaultRowHeight="12" x14ac:dyDescent="0.15"/>
  <cols>
    <col min="1" max="1" width="13.5" style="33" customWidth="1"/>
    <col min="2" max="2" width="8.6640625" style="36" customWidth="1"/>
    <col min="3" max="3" width="11" style="36" customWidth="1"/>
    <col min="4" max="4" width="6.6640625" style="33" customWidth="1"/>
    <col min="5" max="5" width="6.6640625" style="33" hidden="1" customWidth="1"/>
    <col min="6" max="6" width="38.6640625" style="30" customWidth="1"/>
    <col min="7" max="7" width="9.5" style="33" customWidth="1"/>
    <col min="8" max="8" width="6.83203125" style="33" customWidth="1"/>
    <col min="9" max="9" width="38.6640625" style="30" customWidth="1"/>
    <col min="10" max="10" width="6.6640625" style="33" customWidth="1"/>
    <col min="11" max="11" width="5.33203125" style="33" customWidth="1"/>
    <col min="12" max="12" width="0.1640625" style="30" customWidth="1"/>
    <col min="13" max="16384" width="6.6640625" style="30"/>
  </cols>
  <sheetData>
    <row r="1" spans="1:12" hidden="1" x14ac:dyDescent="0.15">
      <c r="A1" s="46" t="str">
        <f>IF(ISBLANK(Metrics!D19),"-----",Metrics!D19)</f>
        <v>-----</v>
      </c>
      <c r="B1" s="35"/>
      <c r="C1" s="35"/>
      <c r="D1" s="34" t="s">
        <v>42</v>
      </c>
      <c r="E1" s="34" t="s">
        <v>43</v>
      </c>
      <c r="F1" s="31" t="s">
        <v>44</v>
      </c>
      <c r="G1" s="34" t="s">
        <v>14</v>
      </c>
      <c r="H1" s="34" t="s">
        <v>42</v>
      </c>
      <c r="I1" s="31"/>
      <c r="J1" s="34"/>
      <c r="K1" s="34" t="s">
        <v>4</v>
      </c>
      <c r="L1" s="30" t="e">
        <f t="shared" ref="L1:L26" si="0">VLOOKUP(A1,NameLookup,2,FALSE)</f>
        <v>#N/A</v>
      </c>
    </row>
    <row r="2" spans="1:12" ht="132" hidden="1" x14ac:dyDescent="0.15">
      <c r="A2" s="46" t="str">
        <f>IF(ISBLANK(Metrics!D21),"-----",Metrics!D21)</f>
        <v>JooWes</v>
      </c>
      <c r="B2" s="35"/>
      <c r="C2" s="35"/>
      <c r="D2" s="34" t="s">
        <v>45</v>
      </c>
      <c r="E2" s="34" t="s">
        <v>46</v>
      </c>
      <c r="F2" s="31" t="s">
        <v>46</v>
      </c>
      <c r="G2" s="34" t="s">
        <v>16</v>
      </c>
      <c r="H2" s="34" t="s">
        <v>45</v>
      </c>
      <c r="I2" s="31"/>
      <c r="J2" s="34"/>
      <c r="K2" s="34" t="s">
        <v>47</v>
      </c>
      <c r="L2" s="30" t="str">
        <f t="shared" si="0"/>
        <v>Joost Westra</v>
      </c>
    </row>
    <row r="3" spans="1:12" hidden="1" x14ac:dyDescent="0.15">
      <c r="A3" s="46" t="e">
        <f>IF(ISBLANK(Metrics!#REF!),"-----",Metrics!#REF!)</f>
        <v>#REF!</v>
      </c>
      <c r="B3" s="35"/>
      <c r="C3" s="35"/>
      <c r="D3" s="34" t="s">
        <v>48</v>
      </c>
      <c r="E3" s="34" t="s">
        <v>49</v>
      </c>
      <c r="F3" s="31" t="s">
        <v>49</v>
      </c>
      <c r="G3" s="34"/>
      <c r="H3" s="34" t="s">
        <v>48</v>
      </c>
      <c r="I3" s="31"/>
      <c r="J3" s="34"/>
      <c r="K3" s="34"/>
      <c r="L3" s="30" t="e">
        <f t="shared" si="0"/>
        <v>#REF!</v>
      </c>
    </row>
    <row r="4" spans="1:12" ht="96" hidden="1" x14ac:dyDescent="0.15">
      <c r="A4" s="46" t="str">
        <f>IF(ISBLANK(Metrics!D22),"-----",Metrics!D22)</f>
        <v>EriGaa</v>
      </c>
      <c r="B4" s="35"/>
      <c r="C4" s="35"/>
      <c r="D4" s="34" t="s">
        <v>50</v>
      </c>
      <c r="E4" s="34" t="s">
        <v>51</v>
      </c>
      <c r="F4" s="31" t="s">
        <v>51</v>
      </c>
      <c r="G4" s="34"/>
      <c r="H4" s="34" t="s">
        <v>6</v>
      </c>
      <c r="I4" s="31"/>
      <c r="J4" s="34"/>
      <c r="K4" s="34"/>
      <c r="L4" s="30" t="str">
        <f t="shared" si="0"/>
        <v>Erik Gaal</v>
      </c>
    </row>
    <row r="5" spans="1:12" ht="108" hidden="1" x14ac:dyDescent="0.15">
      <c r="A5" s="46" t="str">
        <f>IF(ISBLANK(Metrics!D23),"-----",Metrics!D23)</f>
        <v>BasFla</v>
      </c>
      <c r="B5" s="35"/>
      <c r="C5" s="35"/>
      <c r="D5" s="34"/>
      <c r="E5" s="34" t="s">
        <v>52</v>
      </c>
      <c r="F5" s="31" t="s">
        <v>52</v>
      </c>
      <c r="G5" s="34"/>
      <c r="H5" s="34" t="s">
        <v>53</v>
      </c>
      <c r="I5" s="31"/>
      <c r="J5" s="34"/>
      <c r="K5" s="34"/>
      <c r="L5" s="30" t="str">
        <f t="shared" si="0"/>
        <v>Bas Flaton</v>
      </c>
    </row>
    <row r="6" spans="1:12" hidden="1" x14ac:dyDescent="0.15">
      <c r="A6" s="46" t="str">
        <f>IF(ISBLANK(Metrics!D24),"-----",Metrics!D24)</f>
        <v>-----</v>
      </c>
      <c r="B6" s="35"/>
      <c r="C6" s="35"/>
      <c r="D6" s="34"/>
      <c r="E6" s="34" t="s">
        <v>54</v>
      </c>
      <c r="F6" s="31" t="s">
        <v>54</v>
      </c>
      <c r="G6" s="34"/>
      <c r="H6" s="34" t="s">
        <v>55</v>
      </c>
      <c r="I6" s="31"/>
      <c r="J6" s="34"/>
      <c r="K6" s="34"/>
      <c r="L6" s="30" t="e">
        <f t="shared" si="0"/>
        <v>#N/A</v>
      </c>
    </row>
    <row r="7" spans="1:12" hidden="1" x14ac:dyDescent="0.15">
      <c r="A7" s="46" t="str">
        <f>IF(ISBLANK(Metrics!D25),"-----",Metrics!D25)</f>
        <v>-----</v>
      </c>
      <c r="B7" s="35"/>
      <c r="C7" s="35"/>
      <c r="D7" s="34"/>
      <c r="E7" s="34" t="s">
        <v>56</v>
      </c>
      <c r="F7" s="31" t="s">
        <v>56</v>
      </c>
      <c r="G7" s="34"/>
      <c r="H7" s="34"/>
      <c r="I7" s="31"/>
      <c r="J7" s="34"/>
      <c r="K7" s="34"/>
      <c r="L7" s="30" t="e">
        <f t="shared" si="0"/>
        <v>#N/A</v>
      </c>
    </row>
    <row r="8" spans="1:12" hidden="1" x14ac:dyDescent="0.15">
      <c r="A8" s="46" t="str">
        <f>IF(ISBLANK(Metrics!D26),"-----",Metrics!D26)</f>
        <v>-----</v>
      </c>
      <c r="B8" s="35"/>
      <c r="C8" s="35"/>
      <c r="D8" s="34"/>
      <c r="E8" s="34" t="s">
        <v>57</v>
      </c>
      <c r="F8" s="31" t="s">
        <v>58</v>
      </c>
      <c r="G8" s="34"/>
      <c r="H8" s="34"/>
      <c r="I8" s="31"/>
      <c r="J8" s="34"/>
      <c r="K8" s="34"/>
      <c r="L8" s="30" t="e">
        <f t="shared" si="0"/>
        <v>#N/A</v>
      </c>
    </row>
    <row r="9" spans="1:12" hidden="1" x14ac:dyDescent="0.15">
      <c r="A9" s="46" t="str">
        <f>IF(ISBLANK(Metrics!D27),"-----",Metrics!D27)</f>
        <v>-----</v>
      </c>
      <c r="B9" s="35"/>
      <c r="C9" s="35"/>
      <c r="D9" s="34"/>
      <c r="E9" s="34" t="s">
        <v>59</v>
      </c>
      <c r="F9" s="31" t="s">
        <v>60</v>
      </c>
      <c r="G9" s="34"/>
      <c r="H9" s="34"/>
      <c r="I9" s="31"/>
      <c r="J9" s="34"/>
      <c r="K9" s="34"/>
      <c r="L9" s="30" t="e">
        <f t="shared" si="0"/>
        <v>#N/A</v>
      </c>
    </row>
    <row r="10" spans="1:12" hidden="1" x14ac:dyDescent="0.15">
      <c r="A10" s="46" t="str">
        <f>IF(ISBLANK(Metrics!D28),"-----",Metrics!D28)</f>
        <v>-----</v>
      </c>
      <c r="B10" s="35"/>
      <c r="C10" s="35"/>
      <c r="D10" s="34"/>
      <c r="E10" s="34" t="s">
        <v>61</v>
      </c>
      <c r="F10" s="31" t="s">
        <v>61</v>
      </c>
      <c r="G10" s="34"/>
      <c r="H10" s="34"/>
      <c r="I10" s="31"/>
      <c r="J10" s="34"/>
      <c r="K10" s="34"/>
      <c r="L10" s="30" t="e">
        <f t="shared" si="0"/>
        <v>#N/A</v>
      </c>
    </row>
    <row r="11" spans="1:12" hidden="1" x14ac:dyDescent="0.15">
      <c r="A11" s="46" t="str">
        <f>IF(ISBLANK(Metrics!D29),"-----",Metrics!D29)</f>
        <v>-----</v>
      </c>
      <c r="B11" s="35"/>
      <c r="C11" s="35"/>
      <c r="D11" s="34"/>
      <c r="E11" s="34" t="s">
        <v>62</v>
      </c>
      <c r="F11" s="31" t="s">
        <v>62</v>
      </c>
      <c r="G11" s="34"/>
      <c r="H11" s="34"/>
      <c r="I11" s="31"/>
      <c r="J11" s="34"/>
      <c r="K11" s="34"/>
      <c r="L11" s="30" t="e">
        <f t="shared" si="0"/>
        <v>#N/A</v>
      </c>
    </row>
    <row r="12" spans="1:12" hidden="1" x14ac:dyDescent="0.15">
      <c r="A12" s="46" t="str">
        <f>IF(ISBLANK(Metrics!D30),"-----",Metrics!D30)</f>
        <v>-----</v>
      </c>
      <c r="B12" s="35"/>
      <c r="C12" s="35"/>
      <c r="D12" s="34"/>
      <c r="E12" s="34" t="s">
        <v>63</v>
      </c>
      <c r="F12" s="31" t="s">
        <v>64</v>
      </c>
      <c r="G12" s="34"/>
      <c r="H12" s="34"/>
      <c r="I12" s="31"/>
      <c r="J12" s="34"/>
      <c r="K12" s="34"/>
      <c r="L12" s="30" t="e">
        <f t="shared" si="0"/>
        <v>#N/A</v>
      </c>
    </row>
    <row r="13" spans="1:12" hidden="1" x14ac:dyDescent="0.15">
      <c r="A13" s="46" t="str">
        <f>IF(ISBLANK(Metrics!D31),"-----",Metrics!D31)</f>
        <v>-----</v>
      </c>
      <c r="B13" s="35"/>
      <c r="C13" s="35"/>
      <c r="D13" s="34"/>
      <c r="E13" s="34" t="s">
        <v>65</v>
      </c>
      <c r="F13" s="31" t="s">
        <v>65</v>
      </c>
      <c r="G13" s="34"/>
      <c r="H13" s="34"/>
      <c r="I13" s="31"/>
      <c r="J13" s="34"/>
      <c r="K13" s="34"/>
      <c r="L13" s="30" t="e">
        <f t="shared" si="0"/>
        <v>#N/A</v>
      </c>
    </row>
    <row r="14" spans="1:12" hidden="1" x14ac:dyDescent="0.15">
      <c r="A14" s="46" t="str">
        <f>IF(ISBLANK(Metrics!D32),"-----",Metrics!D32)</f>
        <v>-----</v>
      </c>
      <c r="B14" s="35"/>
      <c r="C14" s="35"/>
      <c r="D14" s="34"/>
      <c r="E14" s="34" t="s">
        <v>66</v>
      </c>
      <c r="F14" s="31" t="s">
        <v>66</v>
      </c>
      <c r="G14" s="34"/>
      <c r="H14" s="34"/>
      <c r="I14" s="31"/>
      <c r="J14" s="34"/>
      <c r="K14" s="34"/>
      <c r="L14" s="30" t="e">
        <f t="shared" si="0"/>
        <v>#N/A</v>
      </c>
    </row>
    <row r="15" spans="1:12" hidden="1" x14ac:dyDescent="0.15">
      <c r="A15" s="46" t="str">
        <f>IF(ISBLANK(Metrics!D33),"-----",Metrics!D33)</f>
        <v>-----</v>
      </c>
      <c r="B15" s="35"/>
      <c r="C15" s="35"/>
      <c r="D15" s="34"/>
      <c r="E15" s="34"/>
      <c r="F15" s="31"/>
      <c r="G15" s="34"/>
      <c r="H15" s="34"/>
      <c r="I15" s="31"/>
      <c r="J15" s="34"/>
      <c r="K15" s="34"/>
      <c r="L15" s="30" t="e">
        <f t="shared" si="0"/>
        <v>#N/A</v>
      </c>
    </row>
    <row r="16" spans="1:12" hidden="1" x14ac:dyDescent="0.15">
      <c r="A16" s="46" t="str">
        <f>IF(ISBLANK(Metrics!D34),"-----",Metrics!D34)</f>
        <v>-----</v>
      </c>
      <c r="B16" s="35"/>
      <c r="C16" s="35"/>
      <c r="D16" s="34"/>
      <c r="E16" s="34"/>
      <c r="F16" s="31"/>
      <c r="G16" s="34"/>
      <c r="H16" s="34"/>
      <c r="I16" s="31"/>
      <c r="J16" s="34"/>
      <c r="K16" s="34"/>
      <c r="L16" s="30" t="e">
        <f t="shared" si="0"/>
        <v>#N/A</v>
      </c>
    </row>
    <row r="17" spans="1:12" hidden="1" x14ac:dyDescent="0.15">
      <c r="A17" s="46" t="str">
        <f>IF(ISBLANK(Metrics!D35),"-----",Metrics!D35)</f>
        <v>-----</v>
      </c>
      <c r="B17" s="35"/>
      <c r="C17" s="35"/>
      <c r="D17" s="34"/>
      <c r="E17" s="34"/>
      <c r="F17" s="31"/>
      <c r="G17" s="34"/>
      <c r="H17" s="34"/>
      <c r="I17" s="31"/>
      <c r="J17" s="34"/>
      <c r="K17" s="34"/>
      <c r="L17" s="30" t="e">
        <f t="shared" si="0"/>
        <v>#N/A</v>
      </c>
    </row>
    <row r="18" spans="1:12" hidden="1" x14ac:dyDescent="0.15">
      <c r="A18" s="46" t="str">
        <f>IF(ISBLANK(Metrics!D36),"-----",Metrics!D36)</f>
        <v>-----</v>
      </c>
      <c r="B18" s="35"/>
      <c r="C18" s="35"/>
      <c r="D18" s="34"/>
      <c r="E18" s="34"/>
      <c r="F18" s="31"/>
      <c r="G18" s="34"/>
      <c r="H18" s="34"/>
      <c r="I18" s="31"/>
      <c r="J18" s="34"/>
      <c r="K18" s="34"/>
      <c r="L18" s="30" t="e">
        <f t="shared" si="0"/>
        <v>#N/A</v>
      </c>
    </row>
    <row r="19" spans="1:12" ht="13.5" hidden="1" customHeight="1" x14ac:dyDescent="0.15">
      <c r="A19" s="46" t="e">
        <f>(IF(ISBLANK(Metrics!D37),"-----",Metrics!D37))+0</f>
        <v>#VALUE!</v>
      </c>
      <c r="B19" s="35"/>
      <c r="C19" s="35"/>
      <c r="D19" s="34"/>
      <c r="E19" s="34"/>
      <c r="F19" s="31"/>
      <c r="G19" s="34"/>
      <c r="H19" s="34"/>
      <c r="I19" s="31"/>
      <c r="J19" s="34"/>
      <c r="K19" s="34"/>
      <c r="L19" s="30" t="e">
        <f t="shared" si="0"/>
        <v>#VALUE!</v>
      </c>
    </row>
    <row r="20" spans="1:12" ht="13.5" hidden="1" customHeight="1" x14ac:dyDescent="0.15">
      <c r="A20" s="46" t="e">
        <f>(IF(ISBLANK(Metrics!D38),"-----",Metrics!D38))+0</f>
        <v>#VALUE!</v>
      </c>
      <c r="B20" s="35">
        <v>0</v>
      </c>
      <c r="C20" s="35"/>
      <c r="D20" s="34"/>
      <c r="E20" s="34"/>
      <c r="F20" s="31"/>
      <c r="G20" s="34"/>
      <c r="H20" s="34"/>
      <c r="I20" s="31"/>
      <c r="J20" s="34"/>
      <c r="K20" s="34"/>
      <c r="L20" s="30" t="e">
        <f t="shared" si="0"/>
        <v>#VALUE!</v>
      </c>
    </row>
    <row r="21" spans="1:12" s="33" customFormat="1" ht="15.75" customHeight="1" x14ac:dyDescent="0.15">
      <c r="A21" s="48"/>
      <c r="B21" s="48"/>
      <c r="C21" s="48"/>
      <c r="D21" s="48"/>
      <c r="E21" s="48"/>
      <c r="F21" s="48"/>
      <c r="G21" s="83" t="s">
        <v>67</v>
      </c>
      <c r="H21" s="84"/>
      <c r="I21" s="48"/>
      <c r="J21" s="48"/>
      <c r="K21" s="49"/>
      <c r="L21" s="30" t="e">
        <f>VLOOKUP(G21,NameLookup,2,FALSE)</f>
        <v>#N/A</v>
      </c>
    </row>
    <row r="22" spans="1:12" ht="13.5" customHeight="1" x14ac:dyDescent="0.15">
      <c r="A22" s="50" t="str">
        <f>(Metrics!A9)</f>
        <v>Project Name</v>
      </c>
      <c r="B22" s="51"/>
      <c r="C22" s="56" t="str">
        <f>(Metrics!E9)</f>
        <v>CommLib Android</v>
      </c>
      <c r="D22" s="52"/>
      <c r="E22" s="52"/>
      <c r="F22" s="32"/>
      <c r="G22" s="54" t="s">
        <v>18</v>
      </c>
      <c r="H22" s="51"/>
      <c r="I22" s="47" t="str">
        <f>Title</f>
        <v>JaiVis-20161122-02V01</v>
      </c>
      <c r="J22" s="47"/>
      <c r="K22" s="47"/>
      <c r="L22" s="30" t="e">
        <f t="shared" si="0"/>
        <v>#N/A</v>
      </c>
    </row>
    <row r="23" spans="1:12" ht="13.5" customHeight="1" x14ac:dyDescent="0.15">
      <c r="A23" s="50" t="str">
        <f>(Metrics!A10)</f>
        <v>Review ID</v>
      </c>
      <c r="B23" s="51"/>
      <c r="C23" s="56">
        <f>(Metrics!E10)</f>
        <v>0</v>
      </c>
      <c r="D23" s="52"/>
      <c r="E23" s="52"/>
      <c r="F23" s="32"/>
      <c r="G23" s="54" t="s">
        <v>20</v>
      </c>
      <c r="H23" s="51"/>
      <c r="I23" s="47" t="str">
        <f>DocId</f>
        <v>Configuration Items CommLib Android</v>
      </c>
      <c r="J23" s="47"/>
      <c r="K23" s="47"/>
      <c r="L23" s="30" t="e">
        <f t="shared" si="0"/>
        <v>#N/A</v>
      </c>
    </row>
    <row r="24" spans="1:12" ht="13.5" customHeight="1" x14ac:dyDescent="0.15">
      <c r="A24" s="50" t="str">
        <f>(Metrics!A11)</f>
        <v>Moderator</v>
      </c>
      <c r="B24" s="51"/>
      <c r="C24" s="56" t="s">
        <v>84</v>
      </c>
      <c r="D24" s="52"/>
      <c r="E24" s="52"/>
      <c r="F24" s="32"/>
      <c r="G24" s="54" t="s">
        <v>79</v>
      </c>
      <c r="H24" s="51"/>
      <c r="I24" s="47" t="s">
        <v>99</v>
      </c>
      <c r="J24" s="47"/>
      <c r="K24" s="47"/>
      <c r="L24" s="30" t="e">
        <f t="shared" si="0"/>
        <v>#N/A</v>
      </c>
    </row>
    <row r="25" spans="1:12" ht="13.5" customHeight="1" x14ac:dyDescent="0.15">
      <c r="A25" s="50" t="str">
        <f>(Metrics!A12)</f>
        <v>Author</v>
      </c>
      <c r="B25" s="51"/>
      <c r="C25" s="56" t="str">
        <f>(Metrics!E12)</f>
        <v>Jaime Visser</v>
      </c>
      <c r="D25" s="52"/>
      <c r="E25" s="52"/>
      <c r="F25" s="32"/>
      <c r="G25" s="54" t="s">
        <v>23</v>
      </c>
      <c r="H25" s="51"/>
      <c r="I25" s="47" t="str">
        <f>Author</f>
        <v>Configuration Items</v>
      </c>
      <c r="J25" s="47"/>
      <c r="K25" s="47"/>
      <c r="L25" s="30" t="e">
        <f t="shared" si="0"/>
        <v>#N/A</v>
      </c>
    </row>
    <row r="26" spans="1:12" s="40" customFormat="1" ht="24" x14ac:dyDescent="0.15">
      <c r="A26" s="53" t="s">
        <v>68</v>
      </c>
      <c r="B26" s="53" t="s">
        <v>69</v>
      </c>
      <c r="C26" s="53" t="s">
        <v>70</v>
      </c>
      <c r="D26" s="53" t="s">
        <v>71</v>
      </c>
      <c r="E26" s="53" t="s">
        <v>72</v>
      </c>
      <c r="F26" s="53" t="s">
        <v>73</v>
      </c>
      <c r="G26" s="53" t="s">
        <v>74</v>
      </c>
      <c r="H26" s="53" t="s">
        <v>75</v>
      </c>
      <c r="I26" s="53" t="s">
        <v>76</v>
      </c>
      <c r="J26" s="53" t="s">
        <v>77</v>
      </c>
      <c r="K26" s="53" t="s">
        <v>78</v>
      </c>
      <c r="L26" s="39" t="e">
        <f t="shared" si="0"/>
        <v>#N/A</v>
      </c>
    </row>
    <row r="27" spans="1:12" x14ac:dyDescent="0.15">
      <c r="A27" s="33" t="s">
        <v>87</v>
      </c>
      <c r="F27" s="30" t="s">
        <v>95</v>
      </c>
    </row>
  </sheetData>
  <mergeCells count="1">
    <mergeCell ref="G21:H21"/>
  </mergeCells>
  <phoneticPr fontId="0" type="noConversion"/>
  <dataValidations count="6">
    <dataValidation type="list" allowBlank="1" showInputMessage="1" showErrorMessage="1" sqref="A507:A999 A27:A299">
      <formula1>$A$1:$A$20</formula1>
    </dataValidation>
    <dataValidation type="list" allowBlank="1" showInputMessage="1" showErrorMessage="1" sqref="G27:G299">
      <formula1>$G$1:$G$2</formula1>
    </dataValidation>
    <dataValidation type="list" allowBlank="1" showInputMessage="1" showErrorMessage="1" sqref="K27:K299">
      <formula1>$K$1:$K$2</formula1>
    </dataValidation>
    <dataValidation type="list" allowBlank="1" showInputMessage="1" showErrorMessage="1" sqref="D27:D65535">
      <formula1>$D$1:$D$4</formula1>
    </dataValidation>
    <dataValidation type="list" allowBlank="1" showInputMessage="1" showErrorMessage="1" sqref="H27:H299">
      <formula1>$H$1:$H$6</formula1>
    </dataValidation>
    <dataValidation type="list" allowBlank="1" showInputMessage="1" showErrorMessage="1" sqref="E27:E36">
      <formula1>$E$1:$E$14</formula1>
    </dataValidation>
  </dataValidations>
  <printOptions gridLines="1"/>
  <pageMargins left="0.59055118110236204" right="0.39370078740157499" top="0.34055118099999998" bottom="0.34055118099999998" header="0.39370078740157499" footer="0.39370078740157499"/>
  <pageSetup paperSize="9" orientation="landscape" r:id="rId1"/>
  <headerFooter alignWithMargins="0">
    <oddFooter>&amp;L&amp;D &amp;T&amp;R&amp;P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03" r:id="rId4" name="Button 55">
              <controlPr defaultSize="0" print="0" autoFill="0" autoPict="0" macro="[0]!SortPagesLinesLG">
                <anchor moveWithCells="1" sizeWithCells="1">
                  <from>
                    <xdr:col>0</xdr:col>
                    <xdr:colOff>444500</xdr:colOff>
                    <xdr:row>20</xdr:row>
                    <xdr:rowOff>25400</xdr:rowOff>
                  </from>
                  <to>
                    <xdr:col>5</xdr:col>
                    <xdr:colOff>736600</xdr:colOff>
                    <xdr:row>21</xdr:row>
                    <xdr:rowOff>0</xdr:rowOff>
                  </to>
                </anchor>
              </controlPr>
            </control>
          </mc:Choice>
          <mc:Fallback/>
        </mc:AlternateContent>
        <mc:AlternateContent xmlns:mc="http://schemas.openxmlformats.org/markup-compatibility/2006">
          <mc:Choice Requires="x14">
            <control shapeId="2120" r:id="rId5" name="Button 72">
              <controlPr defaultSize="0" print="0" autoFill="0" autoPict="0" macro="[0]!MergeFiles">
                <anchor moveWithCells="1" sizeWithCells="1">
                  <from>
                    <xdr:col>5</xdr:col>
                    <xdr:colOff>749300</xdr:colOff>
                    <xdr:row>20</xdr:row>
                    <xdr:rowOff>25400</xdr:rowOff>
                  </from>
                  <to>
                    <xdr:col>5</xdr:col>
                    <xdr:colOff>2082800</xdr:colOff>
                    <xdr:row>21</xdr:row>
                    <xdr:rowOff>0</xdr:rowOff>
                  </to>
                </anchor>
              </controlPr>
            </control>
          </mc:Choice>
          <mc:Fallback/>
        </mc:AlternateContent>
      </controls>
    </mc:Choice>
    <mc:Fallback/>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01 Support document" ma:contentTypeID="0x0101001E9AF57F6A6FB1498E6BAB1704371DB903003DAEC5C9566ECD40A633A7E41F145B37" ma:contentTypeVersion="11" ma:contentTypeDescription="A guidance or supportive document, which can be approved by the MSIS administrator" ma:contentTypeScope="" ma:versionID="f952698d1baf8731e9cf65149a694486">
  <xsd:schema xmlns:xsd="http://www.w3.org/2001/XMLSchema" xmlns:xs="http://www.w3.org/2001/XMLSchema" xmlns:p="http://schemas.microsoft.com/office/2006/metadata/properties" xmlns:ns2="5db227b6-3c56-4158-ad71-bd648583e357" xmlns:ns3="ce34623b-5c11-4b5b-b0d3-7d70f0a3097a" targetNamespace="http://schemas.microsoft.com/office/2006/metadata/properties" ma:root="true" ma:fieldsID="a085923a22bddd88ab9811b22e40c920" ns2:_="" ns3:_="">
    <xsd:import namespace="5db227b6-3c56-4158-ad71-bd648583e357"/>
    <xsd:import namespace="ce34623b-5c11-4b5b-b0d3-7d70f0a3097a"/>
    <xsd:element name="properties">
      <xsd:complexType>
        <xsd:sequence>
          <xsd:element name="documentManagement">
            <xsd:complexType>
              <xsd:all>
                <xsd:element ref="ns2:Doc_x0020_nr."/>
                <xsd:element ref="ns2:Document_x0020_author"/>
                <xsd:element ref="ns2:Approver"/>
                <xsd:element ref="ns2:Document_x0020_type"/>
                <xsd:element ref="ns2:Process"/>
                <xsd:element ref="ns2:Relevant_x0020_to_x0020_ISO_x0020_13485" minOccurs="0"/>
                <xsd:element ref="ns2:Relevant_x0020_to_x0020_ISO_x0020_14001" minOccurs="0"/>
                <xsd:element ref="ns2:Relevant_x0020_to_x0020_ISO_x0020_9001" minOccurs="0"/>
                <xsd:element ref="ns2:Safety_x0020_relevant" minOccurs="0"/>
                <xsd:element ref="ns2:View_x0020_CRM" minOccurs="0"/>
                <xsd:element ref="ns2:View_x0020_Eng" minOccurs="0"/>
                <xsd:element ref="ns2:View_x0020_Mng" minOccurs="0"/>
                <xsd:element ref="ns2:View_x0020_PL" minOccurs="0"/>
                <xsd:element ref="ns2:View_x0020_Qua" minOccurs="0"/>
                <xsd:element ref="ns3:View_x0020_Production" minOccurs="0"/>
                <xsd:element ref="ns2:Reviewers" minOccurs="0"/>
                <xsd:element ref="ns2:PInS_x0020_department"/>
                <xsd:element ref="ns3:_dlc_Exempt" minOccurs="0"/>
                <xsd:element ref="ns3:DLCPolicyLabelValue" minOccurs="0"/>
                <xsd:element ref="ns3:DLCPolicyLabelClientValue" minOccurs="0"/>
                <xsd:element ref="ns3:DLCPolicyLabelLock" minOccurs="0"/>
                <xsd:element ref="ns3:Linked_x0020_to_x0020_PQ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db227b6-3c56-4158-ad71-bd648583e357" elementFormDefault="qualified">
    <xsd:import namespace="http://schemas.microsoft.com/office/2006/documentManagement/types"/>
    <xsd:import namespace="http://schemas.microsoft.com/office/infopath/2007/PartnerControls"/>
    <xsd:element name="Doc_x0020_nr." ma:index="2" ma:displayName="Doc nr" ma:description="The document number" ma:internalName="Doc_x0020_nr_x002e_0" ma:readOnly="false">
      <xsd:simpleType>
        <xsd:restriction base="dms:Text">
          <xsd:maxLength value="255"/>
        </xsd:restriction>
      </xsd:simpleType>
    </xsd:element>
    <xsd:element name="Document_x0020_author" ma:index="3" ma:displayName="Document author" ma:description="The person who is the actual author of the document. NOTE, this might differ from the person who entered the document into MSIS." ma:list="UserInfo" ma:SharePointGroup="0" ma:internalName="Document_x0020_author0"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Approver" ma:index="4" ma:displayName="Approver" ma:description="The person who must approve this document" ma:list="UserInfo" ma:SharePointGroup="0" ma:internalName="Approver"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Document_x0020_type" ma:index="5" ma:displayName="Document type" ma:default="Top level process description" ma:description="The type of the document" ma:format="Dropdown" ma:internalName="Document_x0020_type0" ma:readOnly="false">
      <xsd:simpleType>
        <xsd:restriction base="dms:Choice">
          <xsd:enumeration value="Top level process description"/>
          <xsd:enumeration value="Process flow"/>
          <xsd:enumeration value="Way of Working"/>
          <xsd:enumeration value="Template"/>
          <xsd:enumeration value="Form"/>
          <xsd:enumeration value="Guidance"/>
          <xsd:enumeration value="Other"/>
        </xsd:restriction>
      </xsd:simpleType>
    </xsd:element>
    <xsd:element name="Process" ma:index="6" ma:displayName="Process" ma:default="01 Leadership &amp; Governance" ma:description="The process to which the document belongs." ma:format="Dropdown" ma:internalName="Process">
      <xsd:simpleType>
        <xsd:restriction base="dms:Choice">
          <xsd:enumeration value="00 Not specified"/>
          <xsd:enumeration value="01 Leadership &amp; Governance"/>
          <xsd:enumeration value="02 Policy &amp; Strategy"/>
          <xsd:enumeration value="03 Sales &amp; Marketing"/>
          <xsd:enumeration value="04 Realisation"/>
          <xsd:enumeration value="05 Serv. and Compet. portfolio mngmnt"/>
          <xsd:enumeration value="06 HRM"/>
          <xsd:enumeration value="07 Finance"/>
          <xsd:enumeration value="08 Facility Management"/>
          <xsd:enumeration value="09 ICT"/>
          <xsd:enumeration value="10 Purchasing"/>
          <xsd:enumeration value="11 Business Excellence / Quality"/>
          <xsd:enumeration value="12 Environmental, safety and health management"/>
        </xsd:restriction>
      </xsd:simpleType>
    </xsd:element>
    <xsd:element name="Relevant_x0020_to_x0020_ISO_x0020_13485" ma:index="7" nillable="true" ma:displayName="Required by ISO 13485" ma:default="0" ma:description="If TRUE it signifies that then document is relevant to ISO 13485. If so, it automatically belongs to QMS." ma:internalName="Relevant_x0020_to_x0020_ISO_x0020_134850">
      <xsd:simpleType>
        <xsd:restriction base="dms:Boolean"/>
      </xsd:simpleType>
    </xsd:element>
    <xsd:element name="Relevant_x0020_to_x0020_ISO_x0020_14001" ma:index="8" nillable="true" ma:displayName="Required by ISO 14001" ma:default="0" ma:description="If TRUE it signifies that then document is relevant to ISO 14001. If so, it automatically belongs to QMS." ma:internalName="Relevant_x0020_to_x0020_ISO_x0020_140010">
      <xsd:simpleType>
        <xsd:restriction base="dms:Boolean"/>
      </xsd:simpleType>
    </xsd:element>
    <xsd:element name="Relevant_x0020_to_x0020_ISO_x0020_9001" ma:index="9" nillable="true" ma:displayName="Required by ISO 9001" ma:default="0" ma:description="If TRUE it signifies that then document is relevant to ISO 9001. If so, it automatically belongs to QMS." ma:internalName="Relevant_x0020_to_x0020_ISO_x0020_90010">
      <xsd:simpleType>
        <xsd:restriction base="dms:Boolean"/>
      </xsd:simpleType>
    </xsd:element>
    <xsd:element name="Safety_x0020_relevant" ma:index="10" nillable="true" ma:displayName="Relevant to safety" ma:default="0" ma:description="Signifies the document is related to safety aspects" ma:internalName="Safety_x0020_relevant">
      <xsd:simpleType>
        <xsd:restriction base="dms:Boolean"/>
      </xsd:simpleType>
    </xsd:element>
    <xsd:element name="View_x0020_CRM" ma:index="11" nillable="true" ma:displayName="View CRM" ma:default="0" ma:description="Belongs to CRM view" ma:internalName="View_x0020_CRM0">
      <xsd:simpleType>
        <xsd:restriction base="dms:Boolean"/>
      </xsd:simpleType>
    </xsd:element>
    <xsd:element name="View_x0020_Eng" ma:index="12" nillable="true" ma:displayName="View Eng" ma:default="0" ma:description="Belongs to engineer view" ma:internalName="View_x0020_Eng0">
      <xsd:simpleType>
        <xsd:restriction base="dms:Boolean"/>
      </xsd:simpleType>
    </xsd:element>
    <xsd:element name="View_x0020_Mng" ma:index="13" nillable="true" ma:displayName="View Mng" ma:default="0" ma:description="Belongs to manager view" ma:internalName="View_x0020_Mng0">
      <xsd:simpleType>
        <xsd:restriction base="dms:Boolean"/>
      </xsd:simpleType>
    </xsd:element>
    <xsd:element name="View_x0020_PL" ma:index="14" nillable="true" ma:displayName="View PL" ma:default="0" ma:description="Belongs to Project Leader view" ma:internalName="View_x0020_PL0">
      <xsd:simpleType>
        <xsd:restriction base="dms:Boolean"/>
      </xsd:simpleType>
    </xsd:element>
    <xsd:element name="View_x0020_Qua" ma:index="15" nillable="true" ma:displayName="View Qua" ma:default="0" ma:description="Belongs to quality view" ma:internalName="View_x0020_Qua0">
      <xsd:simpleType>
        <xsd:restriction base="dms:Boolean"/>
      </xsd:simpleType>
    </xsd:element>
    <xsd:element name="Reviewers" ma:index="17" nillable="true" ma:displayName="Reviewers" ma:description="The people who are required to review the document when it is changed" ma:list="UserInfo" ma:SharePointGroup="0" ma:internalName="Reviewers" ma:showField="Titl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InS_x0020_department" ma:index="18" ma:displayName="Organisational scope" ma:default="000 PInS" ma:description="The department for which the document is valid." ma:format="Dropdown" ma:internalName="PInS_x0020_department" ma:readOnly="false">
      <xsd:simpleType>
        <xsd:restriction base="dms:Choice">
          <xsd:enumeration value="000 PInS"/>
          <xsd:enumeration value="100 Division 1"/>
          <xsd:enumeration value="101 Senior Project Managers"/>
          <xsd:enumeration value="110 Mechatronic Equipment"/>
          <xsd:enumeration value="111 Mechanical Design I"/>
          <xsd:enumeration value="112 Mechanical Design II"/>
          <xsd:enumeration value="113 EHW &amp; SW Motion Control"/>
          <xsd:enumeration value="114 Dynamics"/>
          <xsd:enumeration value="115 Control"/>
          <xsd:enumeration value="120 Mechatronic Products"/>
          <xsd:enumeration value="121 Mechatronic Product Development I"/>
          <xsd:enumeration value="122 Mechatronic Product Development II"/>
          <xsd:enumeration value="123 Mechatronic Product Technologies"/>
          <xsd:enumeration value="124 Product Prototyping I"/>
          <xsd:enumeration value="125 Product Prototyping II"/>
          <xsd:enumeration value="130 Electronics"/>
          <xsd:enumeration value="131 Connectivity"/>
          <xsd:enumeration value="132 Digital processing &amp; Control"/>
          <xsd:enumeration value="133 Power Management"/>
          <xsd:enumeration value="134 Sensors &amp; Mixed signal design"/>
          <xsd:enumeration value="140 Software"/>
          <xsd:enumeration value="141 Cloud"/>
          <xsd:enumeration value="142 Mobile"/>
          <xsd:enumeration value="143 Devices"/>
          <xsd:enumeration value="144 Application"/>
          <xsd:enumeration value="145 Systems Engineering"/>
          <xsd:enumeration value="200 Division 2"/>
          <xsd:enumeration value="210 Quality &amp; Reliability Engineering"/>
          <xsd:enumeration value="211 Electronic Design Services"/>
          <xsd:enumeration value="213 EMC Consultancy"/>
          <xsd:enumeration value="214 Product Quality &amp; Reliability Services"/>
          <xsd:enumeration value="215 Test &amp; measurement Automation"/>
          <xsd:enumeration value="216 Electronic and Photonic Instrumentation"/>
          <xsd:enumeration value="217 Reliability Testing"/>
          <xsd:enumeration value="218 EMC &amp; Electrical safety"/>
          <xsd:enumeration value="220 Material Analysis"/>
          <xsd:enumeration value="230 Technology laboratories"/>
          <xsd:enumeration value="231 Process Development &amp; Integration"/>
          <xsd:enumeration value="232 Micro Assembly Development"/>
          <xsd:enumeration value="233 Process Engineering &amp; Manufacturing"/>
          <xsd:enumeration value="234 Device Assembly &amp; Prototyping"/>
          <xsd:enumeration value="235 Maintenance Engineering"/>
          <xsd:enumeration value="236 Greenhouse"/>
          <xsd:enumeration value="240 GS&amp;S Tech. Infrastructure"/>
          <xsd:enumeration value="241 GS&amp;S Chemical supplies"/>
          <xsd:enumeration value="242 GS&amp;S Facilities &amp; Industrial Supplies"/>
          <xsd:enumeration value="300 Consulting &amp; Business Excellence"/>
          <xsd:enumeration value="310 Industry consulting"/>
          <xsd:enumeration value="311 Operations Management"/>
          <xsd:enumeration value="312 Innovation Management"/>
          <xsd:enumeration value="313 Care Management"/>
          <xsd:enumeration value="320 Environment &amp; Safety"/>
          <xsd:enumeration value="321 PES consultancy"/>
          <xsd:enumeration value="322 Radiation protection group"/>
          <xsd:enumeration value="323 Dosimetry"/>
          <xsd:enumeration value="324 Dangerous goods"/>
          <xsd:enumeration value="330 Business Excellence &amp; Quality"/>
          <xsd:enumeration value="400 MST &amp; Innovation Sourcing"/>
          <xsd:enumeration value="410 MST cluster Acn-Pila-Pab"/>
          <xsd:enumeration value="411 MST Pila-Pabianice"/>
          <xsd:enumeration value="412 MST Aachen"/>
          <xsd:enumeration value="420 MST cluster Tht-Ehv"/>
          <xsd:enumeration value="421 MST Turnhout"/>
          <xsd:enumeration value="422 MST Eindhoven"/>
          <xsd:enumeration value="430 Innovation sourcing Eindhoven"/>
          <xsd:enumeration value="500 Sales &amp; marketing"/>
          <xsd:enumeration value="510 Health Tech"/>
          <xsd:enumeration value="520 Lighting"/>
          <xsd:enumeration value="530 Philips Group"/>
          <xsd:enumeration value="540 Generic Markets"/>
          <xsd:enumeration value="550 Capital Equipment"/>
          <xsd:enumeration value="560 Marketing"/>
          <xsd:enumeration value="570 Business support Office"/>
          <xsd:enumeration value="600 PInS China"/>
          <xsd:enumeration value="999 Former organisation"/>
        </xsd:restriction>
      </xsd:simpleType>
    </xsd:element>
  </xsd:schema>
  <xsd:schema xmlns:xsd="http://www.w3.org/2001/XMLSchema" xmlns:xs="http://www.w3.org/2001/XMLSchema" xmlns:dms="http://schemas.microsoft.com/office/2006/documentManagement/types" xmlns:pc="http://schemas.microsoft.com/office/infopath/2007/PartnerControls" targetNamespace="ce34623b-5c11-4b5b-b0d3-7d70f0a3097a" elementFormDefault="qualified">
    <xsd:import namespace="http://schemas.microsoft.com/office/2006/documentManagement/types"/>
    <xsd:import namespace="http://schemas.microsoft.com/office/infopath/2007/PartnerControls"/>
    <xsd:element name="View_x0020_Production" ma:index="16" nillable="true" ma:displayName="View Production" ma:default="0" ma:description="Does the document describe aspects of the production sub-process" ma:internalName="View_x0020_Production">
      <xsd:simpleType>
        <xsd:restriction base="dms:Boolean"/>
      </xsd:simpleType>
    </xsd:element>
    <xsd:element name="_dlc_Exempt" ma:index="21" nillable="true" ma:displayName="Exempt from Policy" ma:description="" ma:hidden="true" ma:internalName="_dlc_Exempt" ma:readOnly="true">
      <xsd:simpleType>
        <xsd:restriction base="dms:Unknown"/>
      </xsd:simpleType>
    </xsd:element>
    <xsd:element name="DLCPolicyLabelValue" ma:index="22"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23"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24" nillable="true" ma:displayName="Label Locked" ma:description="Indicates whether the label should be updated when item properties are modified." ma:hidden="true" ma:internalName="DLCPolicyLabelLock" ma:readOnly="false">
      <xsd:simpleType>
        <xsd:restriction base="dms:Text"/>
      </xsd:simpleType>
    </xsd:element>
    <xsd:element name="Linked_x0020_to_x0020_PQRS" ma:index="30" nillable="true" ma:displayName="Linked to PQRS" ma:default="0" ma:description="This property signifies if the file has been loaded from the Philips level Q system" ma:internalName="Linked_x0020_to_x0020_PQRS">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0"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p:Policy xmlns:p="office.server.policy" id="" local="true">
  <p:Name>01 Support document</p:Name>
  <p:Description/>
  <p:Statement/>
  <p:PolicyItems>
    <p:PolicyItem featureId="Microsoft.Office.RecordsManagement.PolicyFeatures.PolicyLabel">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segment type="literal">\n</segment>
          <segment type="metadata">_ModerationStatus</segment>
        </label>
      </p:CustomData>
    </p:PolicyItem>
  </p:PolicyItems>
</p:Policy>
</file>

<file path=customXml/item3.xml><?xml version="1.0" encoding="utf-8"?>
<p:properties xmlns:p="http://schemas.microsoft.com/office/2006/metadata/properties" xmlns:xsi="http://www.w3.org/2001/XMLSchema-instance" xmlns:pc="http://schemas.microsoft.com/office/infopath/2007/PartnerControls">
  <documentManagement>
    <Relevant_x0020_to_x0020_ISO_x0020_14001 xmlns="5db227b6-3c56-4158-ad71-bd648583e357">false</Relevant_x0020_to_x0020_ISO_x0020_14001>
    <View_x0020_CRM xmlns="5db227b6-3c56-4158-ad71-bd648583e357">false</View_x0020_CRM>
    <Relevant_x0020_to_x0020_ISO_x0020_9001 xmlns="5db227b6-3c56-4158-ad71-bd648583e357">false</Relevant_x0020_to_x0020_ISO_x0020_9001>
    <View_x0020_Qua xmlns="5db227b6-3c56-4158-ad71-bd648583e357">false</View_x0020_Qua>
    <Document_x0020_author xmlns="5db227b6-3c56-4158-ad71-bd648583e357">
      <UserInfo>
        <DisplayName>Kommeren, Rob</DisplayName>
        <AccountId>111</AccountId>
        <AccountType/>
      </UserInfo>
    </Document_x0020_author>
    <Document_x0020_type xmlns="5db227b6-3c56-4158-ad71-bd648583e357">Template</Document_x0020_type>
    <View_x0020_Eng xmlns="5db227b6-3c56-4158-ad71-bd648583e357">true</View_x0020_Eng>
    <Relevant_x0020_to_x0020_ISO_x0020_13485 xmlns="5db227b6-3c56-4158-ad71-bd648583e357">false</Relevant_x0020_to_x0020_ISO_x0020_13485>
    <Doc_x0020_nr. xmlns="5db227b6-3c56-4158-ad71-bd648583e357">BMS-REA-202</Doc_x0020_nr.>
    <DLCPolicyLabelLock xmlns="ce34623b-5c11-4b5b-b0d3-7d70f0a3097a" xsi:nil="true"/>
    <Safety_x0020_relevant xmlns="5db227b6-3c56-4158-ad71-bd648583e357">false</Safety_x0020_relevant>
    <Approver xmlns="5db227b6-3c56-4158-ad71-bd648583e357">
      <UserInfo>
        <DisplayName>Wassenberg, Rogier</DisplayName>
        <AccountId>14</AccountId>
        <AccountType/>
      </UserInfo>
    </Approver>
    <Reviewers xmlns="5db227b6-3c56-4158-ad71-bd648583e357">
      <UserInfo>
        <DisplayName> </DisplayName>
        <AccountId>286</AccountId>
        <AccountType/>
      </UserInfo>
    </Reviewers>
    <Process xmlns="5db227b6-3c56-4158-ad71-bd648583e357">04 Realisation</Process>
    <View_x0020_PL xmlns="5db227b6-3c56-4158-ad71-bd648583e357">true</View_x0020_PL>
    <View_x0020_Mng xmlns="5db227b6-3c56-4158-ad71-bd648583e357">false</View_x0020_Mng>
    <DLCPolicyLabelClientValue xmlns="ce34623b-5c11-4b5b-b0d3-7d70f0a3097a">{_UIVersionString}
{_ModerationStatus}</DLCPolicyLabelClientValue>
    <DLCPolicyLabelValue xmlns="ce34623b-5c11-4b5b-b0d3-7d70f0a3097a">1.1
Draft</DLCPolicyLabelValue>
    <PInS_x0020_department xmlns="5db227b6-3c56-4158-ad71-bd648583e357">000 PInS</PInS_x0020_department>
    <View_x0020_Production xmlns="ce34623b-5c11-4b5b-b0d3-7d70f0a3097a">false</View_x0020_Production>
    <_dlc_Exempt xmlns="ce34623b-5c11-4b5b-b0d3-7d70f0a3097a">false</_dlc_Exempt>
    <Linked_x0020_to_x0020_PQRS xmlns="ce34623b-5c11-4b5b-b0d3-7d70f0a3097a">false</Linked_x0020_to_x0020_PQR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28547E-FC36-4E00-BC16-AB18AB38E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db227b6-3c56-4158-ad71-bd648583e357"/>
    <ds:schemaRef ds:uri="ce34623b-5c11-4b5b-b0d3-7d70f0a309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E90F3F0-6397-46FF-BD63-1222E05C1126}">
  <ds:schemaRefs>
    <ds:schemaRef ds:uri="office.server.policy"/>
  </ds:schemaRefs>
</ds:datastoreItem>
</file>

<file path=customXml/itemProps3.xml><?xml version="1.0" encoding="utf-8"?>
<ds:datastoreItem xmlns:ds="http://schemas.openxmlformats.org/officeDocument/2006/customXml" ds:itemID="{3E88549F-CE57-41E7-B71F-164125010B58}">
  <ds:schemaRefs>
    <ds:schemaRef ds:uri="http://www.w3.org/XML/1998/namespace"/>
    <ds:schemaRef ds:uri="http://schemas.microsoft.com/office/2006/documentManagement/types"/>
    <ds:schemaRef ds:uri="http://purl.org/dc/dcmitype/"/>
    <ds:schemaRef ds:uri="ce34623b-5c11-4b5b-b0d3-7d70f0a3097a"/>
    <ds:schemaRef ds:uri="http://schemas.microsoft.com/office/2006/metadata/properties"/>
    <ds:schemaRef ds:uri="5db227b6-3c56-4158-ad71-bd648583e357"/>
    <ds:schemaRef ds:uri="http://purl.org/dc/elements/1.1/"/>
    <ds:schemaRef ds:uri="http://purl.org/dc/terms/"/>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F38D5646-71B5-432A-850E-C98F5F49304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Metrics</vt:lpstr>
      <vt:lpstr>Logging</vt:lpstr>
    </vt:vector>
  </TitlesOfParts>
  <Company>Philips Consumer Electronics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documents Review sheet_Template</dc:title>
  <dc:creator>nistelra</dc:creator>
  <cp:lastModifiedBy>Microsoft Office User</cp:lastModifiedBy>
  <cp:lastPrinted>2004-08-02T09:06:11Z</cp:lastPrinted>
  <dcterms:created xsi:type="dcterms:W3CDTF">2001-05-17T11:36:21Z</dcterms:created>
  <dcterms:modified xsi:type="dcterms:W3CDTF">2017-07-21T08:35:29Z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0.3</vt:lpwstr>
  </property>
  <property fmtid="{D5CDD505-2E9C-101B-9397-08002B2CF9AE}" pid="3" name="Document number">
    <vt:lpwstr>AR6-906001-C4S501</vt:lpwstr>
  </property>
  <property fmtid="{D5CDD505-2E9C-101B-9397-08002B2CF9AE}" pid="4" name="Date completed">
    <vt:lpwstr>2001-09-07</vt:lpwstr>
  </property>
  <property fmtid="{D5CDD505-2E9C-101B-9397-08002B2CF9AE}" pid="5" name="ContentTypeId">
    <vt:lpwstr>0x0101001E9AF57F6A6FB1498E6BAB1704371DB903003DAEC5C9566ECD40A633A7E41F145B37</vt:lpwstr>
  </property>
  <property fmtid="{D5CDD505-2E9C-101B-9397-08002B2CF9AE}" pid="6" name="xd_Signature">
    <vt:bool>true</vt:bool>
  </property>
  <property fmtid="{D5CDD505-2E9C-101B-9397-08002B2CF9AE}" pid="7" name="xd_ProgID">
    <vt:lpwstr/>
  </property>
  <property fmtid="{D5CDD505-2E9C-101B-9397-08002B2CF9AE}" pid="8" name="TemplateUrl">
    <vt:lpwstr/>
  </property>
</Properties>
</file>