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715" codeName="{7A2D7E96-6E34-419A-AE5F-296B3A7E7977}"/>
  <workbookPr codeName="ThisWorkbook"/>
  <mc:AlternateContent xmlns:mc="http://schemas.openxmlformats.org/markup-compatibility/2006">
    <mc:Choice Requires="x15">
      <x15ac:absPath xmlns:x15ac="http://schemas.microsoft.com/office/spreadsheetml/2010/11/ac" url="/Users/310088528p/dev/dicomm-android/Documents/External/"/>
    </mc:Choice>
  </mc:AlternateContent>
  <bookViews>
    <workbookView xWindow="0" yWindow="460" windowWidth="25200" windowHeight="13480"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Metrics!$D$21</definedName>
    <definedName name="Initial20">Metrics!$D$38</definedName>
    <definedName name="Initial3">Metrics!#REF!</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Metrics!$E$21</definedName>
    <definedName name="Name20">Metrics!$E$38</definedName>
    <definedName name="Name3">Metrics!#REF!</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text>
        <r>
          <rPr>
            <sz val="8"/>
            <color indexed="81"/>
            <rFont val="Tahoma"/>
            <family val="2"/>
          </rPr>
          <t xml:space="preserve">Select the initials assigned to you in this list.
</t>
        </r>
      </text>
    </comment>
    <comment ref="B26" authorId="0">
      <text>
        <r>
          <rPr>
            <b/>
            <sz val="8"/>
            <color indexed="81"/>
            <rFont val="Tahoma"/>
            <family val="2"/>
          </rPr>
          <t>Page number the remark was found on. For general remarks, use 0.</t>
        </r>
      </text>
    </comment>
    <comment ref="C26" authorId="0">
      <text>
        <r>
          <rPr>
            <sz val="8"/>
            <color indexed="81"/>
            <rFont val="Tahoma"/>
            <family val="2"/>
          </rPr>
          <t>Line number the remark was found on. For general remarks, use 0.</t>
        </r>
      </text>
    </comment>
    <comment ref="D26" authorId="0">
      <text>
        <r>
          <rPr>
            <b/>
            <sz val="8"/>
            <color indexed="81"/>
            <rFont val="Tahoma"/>
            <family val="2"/>
          </rPr>
          <t>Select a severity level for the remark found.</t>
        </r>
        <r>
          <rPr>
            <sz val="8"/>
            <color indexed="81"/>
            <rFont val="Tahoma"/>
            <family val="2"/>
          </rPr>
          <t xml:space="preserve">
</t>
        </r>
      </text>
    </comment>
    <comment ref="G26" authorId="0">
      <text>
        <r>
          <rPr>
            <b/>
            <sz val="8"/>
            <color indexed="81"/>
            <rFont val="Tahoma"/>
            <family val="2"/>
          </rPr>
          <t>Indicate if the remark needs to be discussed.</t>
        </r>
        <r>
          <rPr>
            <sz val="8"/>
            <color indexed="81"/>
            <rFont val="Tahoma"/>
            <family val="2"/>
          </rPr>
          <t xml:space="preserve">
</t>
        </r>
      </text>
    </comment>
    <comment ref="H26" authorId="0">
      <text>
        <r>
          <rPr>
            <b/>
            <sz val="8"/>
            <color indexed="81"/>
            <rFont val="Tahoma"/>
            <family val="2"/>
          </rPr>
          <t>Select actual severity level when reworking the document.</t>
        </r>
      </text>
    </comment>
    <comment ref="I26" authorId="0">
      <text>
        <r>
          <rPr>
            <b/>
            <sz val="8"/>
            <color indexed="81"/>
            <rFont val="Tahoma"/>
            <family val="2"/>
          </rPr>
          <t xml:space="preserve">Indicate how the remark was handled during reworking.
</t>
        </r>
      </text>
    </comment>
    <comment ref="J26" authorId="0">
      <text>
        <r>
          <rPr>
            <b/>
            <sz val="8"/>
            <color indexed="81"/>
            <rFont val="Tahoma"/>
            <family val="2"/>
          </rPr>
          <t>Name of Verifier</t>
        </r>
      </text>
    </comment>
    <comment ref="K26" author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<sst xmlns="http://schemas.openxmlformats.org/spreadsheetml/2006/main" count="138" uniqueCount="104">
  <si>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</si>
  <si>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</si>
  <si>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</si>
  <si>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</si>
  <si>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</si>
  <si>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</si>
  <si>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</si>
  <si>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</si>
  <si>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</si>
  <si>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</si>
  <si>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</si>
  <si>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</si>
  <si>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</si>
  <si>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</si>
  <si>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</si>
  <si>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</si>
  <si>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</si>
  <si>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</si>
  <si>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</si>
  <si>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</si>
  <si>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</si>
  <si>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</si>
  <si>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</si>
  <si>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</si>
  <si>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</si>
  <si>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</si>
  <si>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</si>
  <si>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</si>
  <si>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</si>
  <si>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</si>
  <si>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</si>
  <si>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</si>
  <si>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</si>
  <si>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</si>
  <si>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</si>
  <si>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</si>
  <si>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</si>
  <si>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</si>
  <si>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</si>
  <si>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</si>
  <si>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</si>
  <si>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</si>
  <si>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</si>
  <si>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</si>
  <si>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</si>
  <si>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</si>
  <si>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</si>
  <si>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</si>
  <si>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</si>
  <si>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</si>
  <si>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</si>
  <si>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</si>
  <si>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</si>
  <si>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</si>
  <si>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</si>
  <si>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</si>
  <si>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</si>
  <si>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</si>
  <si>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</si>
  <si>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</si>
  <si>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</si>
  <si>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</si>
  <si>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</si>
  <si>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</si>
  <si>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</si>
  <si>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</si>
  <si>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</si>
  <si>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</si>
  <si>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</si>
  <si>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</si>
  <si>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</si>
  <si>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</si>
  <si>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</si>
  <si>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</si>
  <si>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</si>
  <si>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</si>
  <si>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</si>
  <si>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</si>
  <si>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</si>
  <si>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</si>
  <si>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</si>
  <si>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</si>
  <si>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</si>
  <si>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</si>
  <si>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</si>
  <si>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</si>
  <si>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</si>
  <si>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JooWes</t>
  </si>
  <si>
    <t>Joost Westra</t>
  </si>
  <si>
    <t>Jaime Visser</t>
  </si>
  <si>
    <t>Configuration Items</t>
  </si>
  <si>
    <t>Correctness, consistency</t>
  </si>
  <si>
    <t>0.1 draft</t>
  </si>
  <si>
    <t>CommLib Android</t>
  </si>
  <si>
    <t>Configuration Items CommLib Android</t>
  </si>
  <si>
    <t>JaiVis-20161122-02V01</t>
  </si>
  <si>
    <t>(no comments)</t>
  </si>
  <si>
    <t>BasFla</t>
  </si>
  <si>
    <t>Bas Flaton</t>
  </si>
  <si>
    <t>Developer</t>
  </si>
  <si>
    <t>chapter 2.1</t>
  </si>
  <si>
    <t>Currently the only useful information I see in these docs is a version number and sometimes reason for the release.</t>
  </si>
  <si>
    <t>Refer to dependency file (POM) in artifactory!!!
We should check if we target fixed versions as well..</t>
  </si>
  <si>
    <t>Added link to build.gradle instead, because POM file only exists after release has been done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</si>
</sst>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ck">
        <color auto="1"/>
      </top>
      <bottom style="thin">
        <color auto="1"/>
      </bottom>
      <diagonal/>
    </border>
  </borders>
  <cellStyleXfs count="1">
    <xf numFmtId="0" fontId="0" fillId="0" borderId="0"/>
  </cellStyleXfs>
  <cellXfs count="85">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left"/>
      <protection locked="0"/>
    </xf>
    <xf numFmtId="0" fontId="0" fillId="4" borderId="1" xfId="0" applyFill="1" applyBorder="1" applyAlignment="1">
      <alignment horizontal="left"/>
    </xf>
    <xf numFmtId="0" fontId="0" fillId="4" borderId="2" xfId="0"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49" fontId="1" fillId="4" borderId="8" xfId="0" applyNumberFormat="1" applyFont="1" applyFill="1" applyBorder="1" applyAlignment="1" applyProtection="1">
      <alignment horizontal="left"/>
      <protection locked="0"/>
    </xf>
    <xf numFmtId="0" fontId="0" fillId="4" borderId="2" xfId="0" applyFill="1" applyBorder="1" applyAlignment="1"/>
    <xf numFmtId="0" fontId="8" fillId="4" borderId="8" xfId="0" applyFont="1" applyFill="1" applyBorder="1" applyAlignment="1">
      <alignment horizontal="left"/>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3" borderId="0" xfId="0" applyFont="1" applyFill="1"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openxmlformats.org/officeDocument/2006/relationships/customXml" Target="../customXml/item4.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139700</xdr:colOff>
          <xdr:row>15</xdr:row>
          <xdr:rowOff>101600</xdr:rowOff>
        </xdr:from>
        <xdr:to>
          <xdr:col>17</xdr:col>
          <xdr:colOff>0</xdr:colOff>
          <xdr:row>17</xdr:row>
          <xdr:rowOff>101600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444500</xdr:colOff>
          <xdr:row>20</xdr:row>
          <xdr:rowOff>25400</xdr:rowOff>
        </xdr:from>
        <xdr:to>
          <xdr:col>5</xdr:col>
          <xdr:colOff>736600</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749300</xdr:colOff>
          <xdr:row>20</xdr:row>
          <xdr:rowOff>25400</xdr:rowOff>
        </xdr:from>
        <xdr:to>
          <xdr:col>5</xdr:col>
          <xdr:colOff>2082800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omments" Target="../comments1.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X50"/>
  <sheetViews>
    <sheetView topLeftCell="A4" zoomScale="115" zoomScaleNormal="115" zoomScalePageLayoutView="115" workbookViewId="0">
      <pane ySplit="10" topLeftCell="A14" activePane="bottomLeft" state="frozen"/>
      <selection activeCell="A8" sqref="A8"/>
      <selection pane="bottomLeft" activeCell="M19" sqref="M19:M38"/>
    </sheetView>
  </sheetViews>
  <sheetFormatPr baseColWidth="10" defaultColWidth="8.6640625" defaultRowHeight="12" x14ac:dyDescent="0.15"/>
  <cols>
    <col min="1" max="1" width="1.6640625" style="3" customWidth="1"/>
    <col min="2" max="2" width="15.1640625" style="3" customWidth="1"/>
    <col min="3" max="3" width="10" style="3" customWidth="1"/>
    <col min="4" max="4" width="7.1640625" style="3" customWidth="1"/>
    <col min="5" max="6" width="10.1640625" style="1" customWidth="1"/>
    <col min="7" max="7" width="22.1640625" style="1" customWidth="1"/>
    <col min="8" max="9" width="10.1640625" style="1" customWidth="1"/>
    <col min="10" max="10" width="1.5" style="3" customWidth="1"/>
    <col min="11" max="11" width="11.83203125" style="4" customWidth="1"/>
    <col min="12" max="12" width="1.5" style="3" customWidth="1"/>
    <col min="13" max="13" width="8.6640625" style="4" customWidth="1"/>
    <col min="14" max="14" width="5.6640625" style="3" customWidth="1"/>
    <col min="15" max="17" width="6.6640625" style="4" customWidth="1"/>
    <col min="18" max="18" width="1.5" style="3" customWidth="1"/>
    <col min="19" max="19" width="5.5" style="2" customWidth="1"/>
    <col min="20" max="20" width="1.5" style="3" customWidth="1"/>
    <col min="21" max="21" width="8.6640625" style="1" customWidth="1"/>
    <col min="22" max="22" width="11.5" style="3" customWidth="1"/>
    <col min="23" max="16384" width="8.6640625" style="1"/>
  </cols>
  <sheetData>
    <row r="1" spans="1:24" ht="9.75" hidden="1" customHeight="1" x14ac:dyDescent="0.15">
      <c r="G1" s="38" t="s">
        <v>0</v>
      </c>
      <c r="H1" s="27" t="s">
        <v>1</v>
      </c>
      <c r="I1" s="27">
        <f>IF(CountUnit&lt;&gt;"LOC",4,0.1)*0.999</f>
        <v>3.996</v>
      </c>
      <c r="P1" s="4" t="s">
        <v>2</v>
      </c>
      <c r="Q1" s="4" t="s">
        <v>2</v>
      </c>
      <c r="S1" s="2" t="s">
        <v>3</v>
      </c>
      <c r="U1" s="1" t="s">
        <v>4</v>
      </c>
      <c r="X1" s="29"/>
    </row>
    <row r="2" spans="1:24" ht="9.75" hidden="1" customHeight="1" x14ac:dyDescent="0.15">
      <c r="H2" s="27" t="s">
        <v>5</v>
      </c>
      <c r="I2" s="27">
        <f>IF(CountUnit&lt;&gt;"LOC",2,0.05)*0.999</f>
        <v>1.998</v>
      </c>
      <c r="P2" s="4" t="s">
        <v>6</v>
      </c>
      <c r="Q2" s="4" t="s">
        <v>6</v>
      </c>
      <c r="S2" s="2" t="s">
        <v>7</v>
      </c>
      <c r="U2" s="1" t="s">
        <v>8</v>
      </c>
      <c r="X2" s="29"/>
    </row>
    <row r="3" spans="1:24" ht="9.75" hidden="1" customHeight="1" x14ac:dyDescent="0.15">
      <c r="H3" s="27" t="s">
        <v>9</v>
      </c>
      <c r="I3" s="27">
        <f>IF(CountUnit&lt;&gt;"LOC",0.2,0.005)*0.999</f>
        <v>0.19980000000000001</v>
      </c>
      <c r="S3" s="2" t="s">
        <v>10</v>
      </c>
      <c r="X3" s="29"/>
    </row>
    <row r="4" spans="1:24" hidden="1" x14ac:dyDescent="0.15">
      <c r="S4" s="2" t="s">
        <v>11</v>
      </c>
      <c r="X4" s="29"/>
    </row>
    <row r="5" spans="1:24" ht="22.5" hidden="1" customHeight="1" x14ac:dyDescent="0.15">
      <c r="S5" s="2" t="s">
        <v>12</v>
      </c>
    </row>
    <row r="6" spans="1:24" ht="63" hidden="1" customHeight="1" x14ac:dyDescent="0.15">
      <c r="S6" s="2" t="s">
        <v>13</v>
      </c>
      <c r="U6" s="1" t="s">
        <v>14</v>
      </c>
    </row>
    <row r="7" spans="1:24" ht="40.5" hidden="1" customHeight="1" x14ac:dyDescent="0.15">
      <c r="K7" s="55"/>
      <c r="S7" s="2" t="s">
        <v>15</v>
      </c>
      <c r="U7" s="1" t="s">
        <v>16</v>
      </c>
    </row>
    <row r="8" spans="1:24" ht="16" x14ac:dyDescent="0.2">
      <c r="A8" s="71" t="s">
        <v>80</v>
      </c>
      <c r="B8" s="72"/>
      <c r="C8" s="72"/>
      <c r="D8" s="72"/>
      <c r="E8" s="72"/>
      <c r="F8" s="72"/>
      <c r="G8" s="72"/>
      <c r="H8" s="72"/>
      <c r="I8" s="72"/>
      <c r="J8" s="72"/>
      <c r="K8" s="72"/>
      <c r="L8" s="72"/>
      <c r="M8" s="72"/>
      <c r="N8" s="72"/>
      <c r="O8" s="72"/>
      <c r="P8" s="72"/>
      <c r="Q8" s="72"/>
      <c r="R8" s="72"/>
      <c r="S8" s="72"/>
      <c r="T8" s="72"/>
      <c r="U8" s="72"/>
      <c r="V8" s="73"/>
    </row>
    <row r="9" spans="1:24" ht="12.75" customHeight="1" x14ac:dyDescent="0.15">
      <c r="A9" s="65" t="s">
        <v>17</v>
      </c>
      <c r="B9" s="66"/>
      <c r="C9" s="66"/>
      <c r="D9" s="67"/>
      <c r="E9" s="68" t="s">
        <v>93</v>
      </c>
      <c r="F9" s="69"/>
      <c r="G9" s="75"/>
      <c r="H9" s="76"/>
      <c r="I9" s="76"/>
      <c r="J9" s="76"/>
      <c r="K9" s="69"/>
      <c r="L9" s="65" t="s">
        <v>18</v>
      </c>
      <c r="M9" s="66"/>
      <c r="N9" s="67"/>
      <c r="O9" s="68" t="s">
        <v>95</v>
      </c>
      <c r="P9" s="59"/>
      <c r="Q9" s="59"/>
      <c r="R9" s="59"/>
      <c r="S9" s="59"/>
      <c r="T9" s="59"/>
      <c r="U9" s="59"/>
      <c r="V9" s="74"/>
    </row>
    <row r="10" spans="1:24" ht="12.75" customHeight="1" x14ac:dyDescent="0.15">
      <c r="A10" s="65" t="s">
        <v>19</v>
      </c>
      <c r="B10" s="66"/>
      <c r="C10" s="66"/>
      <c r="D10" s="67"/>
      <c r="E10" s="68"/>
      <c r="F10" s="69"/>
      <c r="G10" s="60"/>
      <c r="H10" s="60"/>
      <c r="I10" s="60"/>
      <c r="J10" s="60"/>
      <c r="K10" s="61"/>
      <c r="L10" s="65" t="s">
        <v>20</v>
      </c>
      <c r="M10" s="66"/>
      <c r="N10" s="67"/>
      <c r="O10" s="68" t="s">
        <v>94</v>
      </c>
      <c r="P10" s="59"/>
      <c r="Q10" s="59"/>
      <c r="R10" s="59"/>
      <c r="S10" s="59"/>
      <c r="T10" s="59"/>
      <c r="U10" s="59"/>
      <c r="V10" s="74"/>
    </row>
    <row r="11" spans="1:24" ht="12.75" customHeight="1" x14ac:dyDescent="0.15">
      <c r="A11" s="65" t="s">
        <v>21</v>
      </c>
      <c r="B11" s="66"/>
      <c r="C11" s="66"/>
      <c r="D11" s="67"/>
      <c r="E11" s="68" t="s">
        <v>84</v>
      </c>
      <c r="F11" s="69"/>
      <c r="G11" s="60"/>
      <c r="H11" s="60"/>
      <c r="I11" s="60"/>
      <c r="J11" s="60"/>
      <c r="K11" s="61"/>
      <c r="L11" s="65"/>
      <c r="M11" s="66"/>
      <c r="N11" s="67"/>
      <c r="O11" s="68"/>
      <c r="P11" s="59"/>
      <c r="Q11" s="59"/>
      <c r="R11" s="59"/>
      <c r="S11" s="59"/>
      <c r="T11" s="59"/>
      <c r="U11" s="59"/>
      <c r="V11" s="74"/>
    </row>
    <row r="12" spans="1:24" ht="12.75" customHeight="1" x14ac:dyDescent="0.15">
      <c r="A12" s="65" t="s">
        <v>22</v>
      </c>
      <c r="B12" s="66"/>
      <c r="C12" s="66"/>
      <c r="D12" s="67"/>
      <c r="E12" s="68" t="s">
        <v>89</v>
      </c>
      <c r="F12" s="69"/>
      <c r="G12" s="70"/>
      <c r="H12" s="60"/>
      <c r="I12" s="60"/>
      <c r="J12" s="60"/>
      <c r="K12" s="61"/>
      <c r="L12" s="65" t="s">
        <v>23</v>
      </c>
      <c r="M12" s="66"/>
      <c r="N12" s="67"/>
      <c r="O12" s="59" t="s">
        <v>90</v>
      </c>
      <c r="P12" s="60"/>
      <c r="Q12" s="60"/>
      <c r="R12" s="60"/>
      <c r="S12" s="60"/>
      <c r="T12" s="60"/>
      <c r="U12" s="60"/>
      <c r="V12" s="61"/>
    </row>
    <row r="13" spans="1:24" ht="12.75" customHeight="1" x14ac:dyDescent="0.1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1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1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15">
      <c r="A16" s="16"/>
      <c r="B16" s="17"/>
      <c r="C16" s="17"/>
      <c r="D16" s="8"/>
      <c r="E16" s="8"/>
      <c r="F16" s="8"/>
      <c r="G16" s="8"/>
      <c r="H16" s="8"/>
      <c r="I16" s="8"/>
      <c r="J16" s="9"/>
      <c r="K16" s="8"/>
      <c r="L16" s="9"/>
      <c r="M16" s="19"/>
      <c r="N16" s="9"/>
      <c r="O16" s="19"/>
      <c r="P16" s="19"/>
      <c r="Q16" s="19"/>
      <c r="R16" s="9"/>
      <c r="S16" s="77"/>
      <c r="T16" s="9"/>
      <c r="U16" s="77"/>
      <c r="V16" s="18"/>
    </row>
    <row r="17" spans="1:22" ht="3" customHeight="1" x14ac:dyDescent="0.15">
      <c r="A17" s="16"/>
      <c r="B17" s="9"/>
      <c r="C17" s="9"/>
      <c r="D17" s="9"/>
      <c r="E17" s="8"/>
      <c r="F17" s="8"/>
      <c r="G17" s="8"/>
      <c r="H17" s="8"/>
      <c r="I17" s="8"/>
      <c r="J17" s="9"/>
      <c r="K17" s="19"/>
      <c r="L17" s="9"/>
      <c r="M17" s="19"/>
      <c r="N17" s="9"/>
      <c r="O17" s="19"/>
      <c r="P17" s="19"/>
      <c r="Q17" s="19"/>
      <c r="R17" s="9"/>
      <c r="S17" s="78"/>
      <c r="T17" s="9"/>
      <c r="U17" s="78"/>
      <c r="V17" s="18"/>
    </row>
    <row r="18" spans="1:22" ht="12.75" customHeight="1" x14ac:dyDescent="0.15">
      <c r="A18" s="16"/>
      <c r="B18" s="17" t="s">
        <v>31</v>
      </c>
      <c r="C18" s="17"/>
      <c r="D18" s="28" t="s">
        <v>32</v>
      </c>
      <c r="E18" s="62" t="s">
        <v>33</v>
      </c>
      <c r="F18" s="63"/>
      <c r="G18" s="37" t="s">
        <v>34</v>
      </c>
      <c r="H18" s="62" t="s">
        <v>35</v>
      </c>
      <c r="I18" s="64"/>
      <c r="J18" s="9"/>
      <c r="K18" s="37" t="s">
        <v>26</v>
      </c>
      <c r="L18" s="9"/>
      <c r="M18" s="28" t="s">
        <v>36</v>
      </c>
      <c r="N18" s="9"/>
      <c r="O18" s="19"/>
      <c r="P18" s="19"/>
      <c r="Q18" s="19"/>
      <c r="R18" s="9"/>
      <c r="S18" s="78"/>
      <c r="T18" s="9"/>
      <c r="U18" s="78"/>
      <c r="V18" s="18"/>
    </row>
    <row r="19" spans="1:22" ht="9.75" customHeight="1" x14ac:dyDescent="0.15">
      <c r="A19" s="21"/>
      <c r="B19" s="22"/>
      <c r="C19" s="22"/>
      <c r="D19" s="41"/>
      <c r="E19" s="57"/>
      <c r="F19" s="58"/>
      <c r="G19" s="41"/>
      <c r="H19" s="57"/>
      <c r="I19" s="58"/>
      <c r="J19" s="22"/>
      <c r="K19" s="55"/>
      <c r="L19" s="22"/>
      <c r="N19" s="22"/>
      <c r="O19" s="43">
        <v>0</v>
      </c>
      <c r="P19" s="43">
        <v>0</v>
      </c>
      <c r="Q19" s="43">
        <v>0</v>
      </c>
      <c r="R19" s="22"/>
      <c r="S19" s="20"/>
      <c r="T19" s="22"/>
      <c r="U19" s="20"/>
      <c r="V19" s="23"/>
    </row>
    <row r="20" spans="1:22" ht="10" customHeight="1" x14ac:dyDescent="0.15">
      <c r="A20" s="21"/>
      <c r="B20" s="22"/>
      <c r="C20" s="22"/>
      <c r="D20" s="41"/>
      <c r="E20" s="57"/>
      <c r="F20" s="58"/>
      <c r="G20" s="41"/>
      <c r="H20" s="57"/>
      <c r="I20" s="58"/>
      <c r="J20" s="22"/>
      <c r="K20" s="55"/>
      <c r="L20" s="22"/>
      <c r="N20" s="22"/>
      <c r="O20" s="44">
        <v>0</v>
      </c>
      <c r="P20" s="43">
        <v>0</v>
      </c>
      <c r="Q20" s="43">
        <v>0</v>
      </c>
      <c r="R20" s="22"/>
      <c r="S20" s="20"/>
      <c r="T20" s="22"/>
      <c r="U20" s="20"/>
      <c r="V20" s="23"/>
    </row>
    <row r="21" spans="1:22" ht="10" customHeight="1" x14ac:dyDescent="0.15">
      <c r="A21" s="21"/>
      <c r="B21" s="22"/>
      <c r="C21" s="22"/>
      <c r="D21" s="41" t="s">
        <v>87</v>
      </c>
      <c r="E21" s="57" t="s">
        <v>88</v>
      </c>
      <c r="F21" s="58"/>
      <c r="G21" s="41" t="s">
        <v>86</v>
      </c>
      <c r="H21" s="57" t="s">
        <v>91</v>
      </c>
      <c r="I21" s="58"/>
      <c r="J21" s="22"/>
      <c r="K21" s="55"/>
      <c r="L21" s="22"/>
      <c r="N21" s="22"/>
      <c r="O21" s="43">
        <v>0</v>
      </c>
      <c r="P21" s="43">
        <v>0</v>
      </c>
      <c r="Q21" s="43">
        <v>0</v>
      </c>
      <c r="R21" s="22"/>
      <c r="S21" s="20"/>
      <c r="T21" s="22"/>
      <c r="U21" s="20"/>
      <c r="V21" s="23"/>
    </row>
    <row r="22" spans="1:22" ht="10" customHeight="1" x14ac:dyDescent="0.15">
      <c r="A22" s="21"/>
      <c r="B22" s="22"/>
      <c r="C22" s="22"/>
      <c r="D22" s="41" t="s">
        <v>83</v>
      </c>
      <c r="E22" s="57" t="s">
        <v>84</v>
      </c>
      <c r="F22" s="58"/>
      <c r="G22" s="41" t="s">
        <v>81</v>
      </c>
      <c r="H22" s="57" t="s">
        <v>85</v>
      </c>
      <c r="I22" s="58"/>
      <c r="J22" s="22"/>
      <c r="K22" s="55"/>
      <c r="L22" s="22"/>
      <c r="N22" s="22"/>
      <c r="O22" s="43">
        <v>0</v>
      </c>
      <c r="P22" s="43">
        <v>0</v>
      </c>
      <c r="Q22" s="43">
        <v>0</v>
      </c>
      <c r="R22" s="22"/>
      <c r="S22" s="20"/>
      <c r="T22" s="22"/>
      <c r="U22" s="20"/>
      <c r="V22" s="23"/>
    </row>
    <row r="23" spans="1:22" ht="10" customHeight="1" x14ac:dyDescent="0.15">
      <c r="A23" s="21"/>
      <c r="B23" s="22"/>
      <c r="C23" s="22"/>
      <c r="D23" s="41" t="s">
        <v>97</v>
      </c>
      <c r="E23" s="57" t="s">
        <v>98</v>
      </c>
      <c r="F23" s="58"/>
      <c r="G23" s="41" t="s">
        <v>99</v>
      </c>
      <c r="H23" s="57" t="s">
        <v>91</v>
      </c>
      <c r="I23" s="58"/>
      <c r="J23" s="22"/>
      <c r="K23" s="55"/>
      <c r="L23" s="22"/>
      <c r="N23" s="22"/>
      <c r="O23" s="43">
        <v>0</v>
      </c>
      <c r="P23" s="43">
        <v>0</v>
      </c>
      <c r="Q23" s="43">
        <v>0</v>
      </c>
      <c r="R23" s="22"/>
      <c r="S23" s="20"/>
      <c r="T23" s="22"/>
      <c r="U23" s="20"/>
      <c r="V23" s="23"/>
    </row>
    <row r="24" spans="1:22" ht="10" customHeight="1" x14ac:dyDescent="0.15">
      <c r="A24" s="21"/>
      <c r="B24" s="22"/>
      <c r="C24" s="22"/>
      <c r="D24" s="41"/>
      <c r="E24" s="57"/>
      <c r="F24" s="58"/>
      <c r="G24" s="41"/>
      <c r="H24" s="57"/>
      <c r="I24" s="58"/>
      <c r="J24" s="22"/>
      <c r="K24" s="55"/>
      <c r="L24" s="22"/>
      <c r="N24" s="22"/>
      <c r="O24" s="43">
        <v>0</v>
      </c>
      <c r="P24" s="43">
        <v>0</v>
      </c>
      <c r="Q24" s="43">
        <v>0</v>
      </c>
      <c r="R24" s="22"/>
      <c r="S24" s="20"/>
      <c r="T24" s="22"/>
      <c r="U24" s="20"/>
      <c r="V24" s="23"/>
    </row>
    <row r="25" spans="1:22" ht="10" customHeight="1" x14ac:dyDescent="0.15">
      <c r="A25" s="21"/>
      <c r="B25" s="22"/>
      <c r="C25" s="22"/>
      <c r="D25" s="41"/>
      <c r="E25" s="57"/>
      <c r="F25" s="58"/>
      <c r="G25" s="41"/>
      <c r="H25" s="57"/>
      <c r="I25" s="58"/>
      <c r="J25" s="22"/>
      <c r="K25" s="55"/>
      <c r="L25" s="22"/>
      <c r="N25" s="22"/>
      <c r="O25" s="43">
        <v>0</v>
      </c>
      <c r="P25" s="43">
        <v>0</v>
      </c>
      <c r="Q25" s="43">
        <v>0</v>
      </c>
      <c r="R25" s="22"/>
      <c r="S25" s="20"/>
      <c r="T25" s="22"/>
      <c r="U25" s="20"/>
      <c r="V25" s="23"/>
    </row>
    <row r="26" spans="1:22" ht="10" customHeight="1" x14ac:dyDescent="0.15">
      <c r="A26" s="21"/>
      <c r="B26" s="22"/>
      <c r="C26" s="22"/>
      <c r="D26" s="41"/>
      <c r="E26" s="57"/>
      <c r="F26" s="58"/>
      <c r="G26" s="41"/>
      <c r="H26" s="57"/>
      <c r="I26" s="58"/>
      <c r="J26" s="22"/>
      <c r="K26" s="55"/>
      <c r="L26" s="22"/>
      <c r="N26" s="22"/>
      <c r="O26" s="43">
        <v>0</v>
      </c>
      <c r="P26" s="43">
        <v>0</v>
      </c>
      <c r="Q26" s="43">
        <v>0</v>
      </c>
      <c r="R26" s="22"/>
      <c r="S26" s="20"/>
      <c r="T26" s="22"/>
      <c r="U26" s="20"/>
      <c r="V26" s="23"/>
    </row>
    <row r="27" spans="1:22" ht="10" customHeight="1" x14ac:dyDescent="0.15">
      <c r="A27" s="21"/>
      <c r="B27" s="22"/>
      <c r="C27" s="22"/>
      <c r="D27" s="41"/>
      <c r="E27" s="57"/>
      <c r="F27" s="58"/>
      <c r="G27" s="41"/>
      <c r="H27" s="57"/>
      <c r="I27" s="58"/>
      <c r="J27" s="22"/>
      <c r="K27" s="55"/>
      <c r="L27" s="22"/>
      <c r="N27" s="22"/>
      <c r="O27" s="43">
        <v>0</v>
      </c>
      <c r="P27" s="43">
        <v>0</v>
      </c>
      <c r="Q27" s="43">
        <v>0</v>
      </c>
      <c r="R27" s="22"/>
      <c r="S27" s="20"/>
      <c r="T27" s="22"/>
      <c r="U27" s="20"/>
      <c r="V27" s="23"/>
    </row>
    <row r="28" spans="1:22" ht="10" customHeight="1" x14ac:dyDescent="0.15">
      <c r="A28" s="21"/>
      <c r="B28" s="22"/>
      <c r="C28" s="22"/>
      <c r="D28" s="41"/>
      <c r="E28" s="57"/>
      <c r="F28" s="58"/>
      <c r="G28" s="41"/>
      <c r="H28" s="57"/>
      <c r="I28" s="58"/>
      <c r="J28" s="22"/>
      <c r="K28" s="55"/>
      <c r="L28" s="22"/>
      <c r="N28" s="22"/>
      <c r="O28" s="43">
        <v>0</v>
      </c>
      <c r="P28" s="43">
        <v>0</v>
      </c>
      <c r="Q28" s="43">
        <v>0</v>
      </c>
      <c r="R28" s="22"/>
      <c r="S28" s="20"/>
      <c r="T28" s="22"/>
      <c r="U28" s="20"/>
      <c r="V28" s="23"/>
    </row>
    <row r="29" spans="1:22" ht="10" customHeight="1" x14ac:dyDescent="0.15">
      <c r="A29" s="21"/>
      <c r="B29" s="22"/>
      <c r="C29" s="22"/>
      <c r="D29" s="41"/>
      <c r="E29" s="57"/>
      <c r="F29" s="58"/>
      <c r="G29" s="41"/>
      <c r="H29" s="57"/>
      <c r="I29" s="58"/>
      <c r="J29" s="22"/>
      <c r="K29" s="55"/>
      <c r="L29" s="22"/>
      <c r="N29" s="22"/>
      <c r="O29" s="43">
        <v>0</v>
      </c>
      <c r="P29" s="43">
        <v>0</v>
      </c>
      <c r="Q29" s="43">
        <v>0</v>
      </c>
      <c r="R29" s="22"/>
      <c r="S29" s="20"/>
      <c r="T29" s="22"/>
      <c r="U29" s="20"/>
      <c r="V29" s="23"/>
    </row>
    <row r="30" spans="1:22" ht="10" customHeight="1" x14ac:dyDescent="0.15">
      <c r="A30" s="21"/>
      <c r="B30" s="22"/>
      <c r="C30" s="22"/>
      <c r="D30" s="41"/>
      <c r="E30" s="57"/>
      <c r="F30" s="58"/>
      <c r="G30" s="41"/>
      <c r="H30" s="57"/>
      <c r="I30" s="58"/>
      <c r="J30" s="22"/>
      <c r="K30" s="55"/>
      <c r="L30" s="22"/>
      <c r="N30" s="22"/>
      <c r="O30" s="43">
        <v>0</v>
      </c>
      <c r="P30" s="43">
        <v>0</v>
      </c>
      <c r="Q30" s="43">
        <v>0</v>
      </c>
      <c r="R30" s="22"/>
      <c r="S30" s="20"/>
      <c r="T30" s="22"/>
      <c r="U30" s="20"/>
      <c r="V30" s="23"/>
    </row>
    <row r="31" spans="1:22" ht="10" customHeight="1" x14ac:dyDescent="0.15">
      <c r="A31" s="21"/>
      <c r="B31" s="22"/>
      <c r="C31" s="22"/>
      <c r="D31" s="41"/>
      <c r="E31" s="57"/>
      <c r="F31" s="58"/>
      <c r="G31" s="41"/>
      <c r="H31" s="57"/>
      <c r="I31" s="58"/>
      <c r="J31" s="22"/>
      <c r="K31" s="55"/>
      <c r="L31" s="22"/>
      <c r="N31" s="22"/>
      <c r="O31" s="43">
        <v>0</v>
      </c>
      <c r="P31" s="43">
        <v>0</v>
      </c>
      <c r="Q31" s="43">
        <v>0</v>
      </c>
      <c r="R31" s="22"/>
      <c r="S31" s="20"/>
      <c r="T31" s="22"/>
      <c r="U31" s="20"/>
      <c r="V31" s="23"/>
    </row>
    <row r="32" spans="1:22" ht="10" customHeight="1" x14ac:dyDescent="0.15">
      <c r="A32" s="21"/>
      <c r="B32" s="22"/>
      <c r="C32" s="22"/>
      <c r="D32" s="41"/>
      <c r="E32" s="57"/>
      <c r="F32" s="58"/>
      <c r="G32" s="41"/>
      <c r="H32" s="57"/>
      <c r="I32" s="58"/>
      <c r="J32" s="22"/>
      <c r="K32" s="55"/>
      <c r="L32" s="22"/>
      <c r="N32" s="22"/>
      <c r="O32" s="43">
        <v>0</v>
      </c>
      <c r="P32" s="43">
        <v>0</v>
      </c>
      <c r="Q32" s="43">
        <v>0</v>
      </c>
      <c r="R32" s="22"/>
      <c r="S32" s="20"/>
      <c r="T32" s="22"/>
      <c r="U32" s="20"/>
      <c r="V32" s="23"/>
    </row>
    <row r="33" spans="1:22" ht="10" customHeight="1" x14ac:dyDescent="0.15">
      <c r="A33" s="21"/>
      <c r="B33" s="22"/>
      <c r="C33" s="22"/>
      <c r="D33" s="41"/>
      <c r="E33" s="57"/>
      <c r="F33" s="58"/>
      <c r="G33" s="41"/>
      <c r="H33" s="57"/>
      <c r="I33" s="58"/>
      <c r="J33" s="22"/>
      <c r="K33" s="55"/>
      <c r="L33" s="22"/>
      <c r="N33" s="22"/>
      <c r="O33" s="43">
        <v>0</v>
      </c>
      <c r="P33" s="43">
        <v>0</v>
      </c>
      <c r="Q33" s="43">
        <v>0</v>
      </c>
      <c r="R33" s="22"/>
      <c r="S33" s="20"/>
      <c r="T33" s="22"/>
      <c r="U33" s="20"/>
      <c r="V33" s="23"/>
    </row>
    <row r="34" spans="1:22" ht="10" customHeight="1" x14ac:dyDescent="0.15">
      <c r="A34" s="21"/>
      <c r="B34" s="22"/>
      <c r="C34" s="22"/>
      <c r="D34" s="41"/>
      <c r="E34" s="57"/>
      <c r="F34" s="58"/>
      <c r="G34" s="41"/>
      <c r="H34" s="57"/>
      <c r="I34" s="58"/>
      <c r="J34" s="22"/>
      <c r="K34" s="55"/>
      <c r="L34" s="22"/>
      <c r="N34" s="22"/>
      <c r="O34" s="43">
        <v>0</v>
      </c>
      <c r="P34" s="43">
        <v>0</v>
      </c>
      <c r="Q34" s="43">
        <v>0</v>
      </c>
      <c r="R34" s="22"/>
      <c r="S34" s="20"/>
      <c r="T34" s="22"/>
      <c r="U34" s="20"/>
      <c r="V34" s="23"/>
    </row>
    <row r="35" spans="1:22" ht="10" customHeight="1" x14ac:dyDescent="0.15">
      <c r="A35" s="21"/>
      <c r="B35" s="22"/>
      <c r="C35" s="22"/>
      <c r="D35" s="41"/>
      <c r="E35" s="57"/>
      <c r="F35" s="58"/>
      <c r="G35" s="41"/>
      <c r="H35" s="57"/>
      <c r="I35" s="58"/>
      <c r="J35" s="22"/>
      <c r="K35" s="55"/>
      <c r="L35" s="22"/>
      <c r="N35" s="22"/>
      <c r="O35" s="43">
        <v>0</v>
      </c>
      <c r="P35" s="43">
        <v>0</v>
      </c>
      <c r="Q35" s="43">
        <v>0</v>
      </c>
      <c r="R35" s="22"/>
      <c r="S35" s="20"/>
      <c r="T35" s="22"/>
      <c r="U35" s="20"/>
      <c r="V35" s="23"/>
    </row>
    <row r="36" spans="1:22" ht="10" customHeight="1" x14ac:dyDescent="0.15">
      <c r="A36" s="21"/>
      <c r="B36" s="22"/>
      <c r="C36" s="22"/>
      <c r="D36" s="41"/>
      <c r="E36" s="57"/>
      <c r="F36" s="58"/>
      <c r="G36" s="41"/>
      <c r="H36" s="57"/>
      <c r="I36" s="58"/>
      <c r="J36" s="22"/>
      <c r="K36" s="55"/>
      <c r="L36" s="22"/>
      <c r="N36" s="22"/>
      <c r="O36" s="43">
        <v>0</v>
      </c>
      <c r="P36" s="43">
        <v>0</v>
      </c>
      <c r="Q36" s="43">
        <v>0</v>
      </c>
      <c r="R36" s="22"/>
      <c r="S36" s="20"/>
      <c r="T36" s="22"/>
      <c r="U36" s="20"/>
      <c r="V36" s="23"/>
    </row>
    <row r="37" spans="1:22" ht="10" customHeight="1" x14ac:dyDescent="0.15">
      <c r="A37" s="21"/>
      <c r="B37" s="22"/>
      <c r="C37" s="22"/>
      <c r="D37" s="41"/>
      <c r="E37" s="57"/>
      <c r="F37" s="58"/>
      <c r="G37" s="41"/>
      <c r="H37" s="57"/>
      <c r="I37" s="58"/>
      <c r="J37" s="22"/>
      <c r="K37" s="55"/>
      <c r="L37" s="22"/>
      <c r="N37" s="22"/>
      <c r="O37" s="43">
        <v>0</v>
      </c>
      <c r="P37" s="43">
        <v>0</v>
      </c>
      <c r="Q37" s="43">
        <v>0</v>
      </c>
      <c r="R37" s="22"/>
      <c r="S37" s="20"/>
      <c r="T37" s="22"/>
      <c r="U37" s="20"/>
      <c r="V37" s="23"/>
    </row>
    <row r="38" spans="1:22" ht="10" customHeight="1" thickBot="1" x14ac:dyDescent="0.2">
      <c r="A38" s="21"/>
      <c r="B38" s="22"/>
      <c r="C38" s="22"/>
      <c r="D38" s="41"/>
      <c r="E38" s="57"/>
      <c r="F38" s="58"/>
      <c r="G38" s="41"/>
      <c r="H38" s="57"/>
      <c r="I38" s="58"/>
      <c r="J38" s="22"/>
      <c r="K38" s="55"/>
      <c r="L38" s="22"/>
      <c r="N38" s="22"/>
      <c r="O38" s="43">
        <v>0</v>
      </c>
      <c r="P38" s="43">
        <v>0</v>
      </c>
      <c r="Q38" s="43">
        <v>0</v>
      </c>
      <c r="R38" s="22"/>
      <c r="S38" s="20"/>
      <c r="T38" s="22"/>
      <c r="U38" s="20"/>
      <c r="V38" s="23"/>
    </row>
    <row r="39" spans="1:22" ht="12.75" customHeight="1" thickTop="1" x14ac:dyDescent="0.1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1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1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15">
      <c r="A42" s="16"/>
      <c r="B42" s="17" t="s">
        <v>38</v>
      </c>
      <c r="C42" s="45"/>
      <c r="D42" s="45"/>
      <c r="E42" s="8"/>
      <c r="F42" s="9"/>
      <c r="G42" s="20"/>
      <c r="H42" s="8"/>
      <c r="I42" s="9"/>
      <c r="J42" s="9"/>
      <c r="K42" s="20"/>
      <c r="L42" s="9"/>
      <c r="M42" s="9"/>
      <c r="N42" s="9"/>
      <c r="O42" s="20"/>
      <c r="P42" s="9"/>
      <c r="Q42" s="9"/>
      <c r="R42" s="20"/>
      <c r="S42" s="9"/>
      <c r="T42" s="9"/>
      <c r="U42" s="20"/>
      <c r="V42" s="18"/>
    </row>
    <row r="43" spans="1:22" ht="12.75" customHeight="1" x14ac:dyDescent="0.15">
      <c r="A43" s="16"/>
      <c r="B43" s="9"/>
      <c r="C43" s="9" t="s">
        <v>25</v>
      </c>
      <c r="D43" s="9"/>
      <c r="E43" s="8"/>
      <c r="F43" s="82"/>
      <c r="G43" s="82"/>
      <c r="H43" s="8"/>
      <c r="I43" s="8"/>
      <c r="J43" s="9"/>
      <c r="K43" s="20"/>
      <c r="L43" s="9"/>
      <c r="M43" s="8"/>
      <c r="N43" s="9"/>
      <c r="O43" s="20"/>
      <c r="P43" s="8"/>
      <c r="Q43" s="9"/>
      <c r="R43" s="20"/>
      <c r="S43" s="8"/>
      <c r="T43" s="9"/>
      <c r="U43" s="20"/>
      <c r="V43" s="18"/>
    </row>
    <row r="44" spans="1:22" ht="3" customHeight="1" x14ac:dyDescent="0.1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15">
      <c r="A45" s="16"/>
      <c r="B45" s="17" t="s">
        <v>39</v>
      </c>
      <c r="C45" s="45"/>
      <c r="D45" s="9"/>
      <c r="E45" s="8"/>
      <c r="F45" s="8"/>
      <c r="G45" s="8"/>
      <c r="H45" s="8"/>
      <c r="I45" s="8"/>
      <c r="J45" s="9"/>
      <c r="K45" s="20"/>
      <c r="L45" s="9"/>
      <c r="M45" s="9"/>
      <c r="N45" s="9"/>
      <c r="O45" s="20"/>
      <c r="P45" s="9"/>
      <c r="Q45" s="9"/>
      <c r="R45" s="20"/>
      <c r="S45" s="9"/>
      <c r="T45" s="9"/>
      <c r="U45" s="20"/>
      <c r="V45" s="18"/>
    </row>
    <row r="46" spans="1:22" ht="3" customHeight="1" x14ac:dyDescent="0.1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15">
      <c r="A47" s="16"/>
      <c r="B47" s="17" t="s">
        <v>40</v>
      </c>
      <c r="C47" s="45"/>
      <c r="D47" s="9"/>
      <c r="E47" s="8"/>
      <c r="F47" s="8"/>
      <c r="G47" s="8"/>
      <c r="H47" s="8"/>
      <c r="I47" s="8"/>
      <c r="J47" s="9"/>
      <c r="K47" s="20"/>
      <c r="L47" s="9"/>
      <c r="M47" s="8"/>
      <c r="N47" s="9"/>
      <c r="O47" s="20"/>
      <c r="P47" s="8"/>
      <c r="Q47" s="9"/>
      <c r="R47" s="20"/>
      <c r="S47" s="8"/>
      <c r="T47" s="9"/>
      <c r="U47" s="20"/>
      <c r="V47" s="18"/>
    </row>
    <row r="48" spans="1:22" ht="3" customHeight="1" x14ac:dyDescent="0.1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1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15">
      <c r="A50" s="79" t="s">
        <v>82</v>
      </c>
      <c r="B50" s="80"/>
      <c r="C50" s="80"/>
      <c r="D50" s="80"/>
      <c r="E50" s="80"/>
      <c r="F50" s="80"/>
      <c r="G50" s="80"/>
      <c r="H50" s="80"/>
      <c r="I50" s="80"/>
      <c r="J50" s="81"/>
      <c r="K50" s="80"/>
      <c r="L50" s="80"/>
      <c r="M50" s="80"/>
      <c r="N50" s="80"/>
      <c r="O50" s="80"/>
      <c r="P50" s="80"/>
      <c r="Q50" s="80"/>
      <c r="R50" s="80"/>
      <c r="S50" s="80"/>
      <c r="T50" s="80"/>
      <c r="U50" s="80"/>
      <c r="V50" s="81"/>
    </row>
  </sheetData>
  <mergeCells count="68">
    <mergeCell ref="A50:J50"/>
    <mergeCell ref="E37:F37"/>
    <mergeCell ref="E35:F35"/>
    <mergeCell ref="K50:V50"/>
    <mergeCell ref="H35:I35"/>
    <mergeCell ref="H36:I36"/>
    <mergeCell ref="H37:I37"/>
    <mergeCell ref="H38:I38"/>
    <mergeCell ref="F43:G43"/>
    <mergeCell ref="E36:F36"/>
    <mergeCell ref="E38:F38"/>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A8:V8"/>
    <mergeCell ref="O9:V9"/>
    <mergeCell ref="O10:V10"/>
    <mergeCell ref="O11:V11"/>
    <mergeCell ref="G9:K9"/>
    <mergeCell ref="G10:K10"/>
    <mergeCell ref="G11:K11"/>
    <mergeCell ref="E9:F9"/>
    <mergeCell ref="E10:F10"/>
    <mergeCell ref="E11:F11"/>
    <mergeCell ref="A9:D9"/>
    <mergeCell ref="A10:D10"/>
    <mergeCell ref="A11:D11"/>
    <mergeCell ref="A12:D12"/>
    <mergeCell ref="L9:N9"/>
    <mergeCell ref="L10:N10"/>
    <mergeCell ref="L11:N11"/>
    <mergeCell ref="L12:N12"/>
    <mergeCell ref="E12:F12"/>
    <mergeCell ref="G12:K12"/>
    <mergeCell ref="E21:F21"/>
    <mergeCell ref="E19:F19"/>
    <mergeCell ref="E22:F22"/>
    <mergeCell ref="O12:V12"/>
    <mergeCell ref="E18:F18"/>
    <mergeCell ref="H18:I18"/>
    <mergeCell ref="E20:F20"/>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139700</xdr:colOff>
                    <xdr:row>15</xdr:row>
                    <xdr:rowOff>101600</xdr:rowOff>
                  </from>
                  <to>
                    <xdr:col>17</xdr:col>
                    <xdr:colOff>0</xdr:colOff>
                    <xdr:row>17</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29"/>
  <sheetViews>
    <sheetView tabSelected="1" workbookViewId="0">
      <pane ySplit="26" topLeftCell="A27" activePane="bottomLeft" state="frozen"/>
      <selection activeCell="A8" sqref="A8:V8"/>
      <selection pane="bottomLeft" activeCell="I30" sqref="I30"/>
    </sheetView>
  </sheetViews>
  <sheetFormatPr baseColWidth="10" defaultColWidth="6.6640625" defaultRowHeight="12" x14ac:dyDescent="0.15"/>
  <cols>
    <col min="1" max="1" width="13.5" style="33" customWidth="1"/>
    <col min="2" max="2" width="8.6640625" style="36" customWidth="1"/>
    <col min="3" max="3" width="11" style="36" customWidth="1"/>
    <col min="4" max="4" width="6.6640625" style="33" customWidth="1"/>
    <col min="5" max="5" width="6.6640625" style="33" hidden="1" customWidth="1"/>
    <col min="6" max="6" width="38.6640625" style="30" customWidth="1"/>
    <col min="7" max="7" width="9.5" style="33" customWidth="1"/>
    <col min="8" max="8" width="6.83203125" style="33" customWidth="1"/>
    <col min="9" max="9" width="38.6640625" style="30" customWidth="1"/>
    <col min="10" max="10" width="6.6640625" style="33" customWidth="1"/>
    <col min="11" max="11" width="5.33203125" style="33" customWidth="1"/>
    <col min="12" max="12" width="0.1640625" style="30" customWidth="1"/>
    <col min="13" max="16384" width="6.6640625" style="30"/>
  </cols>
  <sheetData>
    <row r="1" spans="1:12" hidden="1" x14ac:dyDescent="0.15">
      <c r="A1" s="46"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32" hidden="1" x14ac:dyDescent="0.15">
      <c r="A2" s="46" t="str">
        <f>IF(ISBLANK(Metrics!D21),"-----",Metrics!D21)</f>
        <v>JooWes</v>
      </c>
      <c r="B2" s="35"/>
      <c r="C2" s="35"/>
      <c r="D2" s="34" t="s">
        <v>45</v>
      </c>
      <c r="E2" s="34" t="s">
        <v>46</v>
      </c>
      <c r="F2" s="31" t="s">
        <v>46</v>
      </c>
      <c r="G2" s="34" t="s">
        <v>16</v>
      </c>
      <c r="H2" s="34" t="s">
        <v>45</v>
      </c>
      <c r="I2" s="31"/>
      <c r="J2" s="34"/>
      <c r="K2" s="34" t="s">
        <v>47</v>
      </c>
      <c r="L2" s="30" t="str">
        <f t="shared" si="0"/>
        <v>Joost Westra</v>
      </c>
    </row>
    <row r="3" spans="1:12" hidden="1" x14ac:dyDescent="0.15">
      <c r="A3" s="46" t="e">
        <f>IF(ISBLANK(Metrics!#REF!),"-----",Metrics!#REF!)</f>
        <v>#REF!</v>
      </c>
      <c r="B3" s="35"/>
      <c r="C3" s="35"/>
      <c r="D3" s="34" t="s">
        <v>48</v>
      </c>
      <c r="E3" s="34" t="s">
        <v>49</v>
      </c>
      <c r="F3" s="31" t="s">
        <v>49</v>
      </c>
      <c r="G3" s="34"/>
      <c r="H3" s="34" t="s">
        <v>48</v>
      </c>
      <c r="I3" s="31"/>
      <c r="J3" s="34"/>
      <c r="K3" s="34"/>
      <c r="L3" s="30" t="e">
        <f t="shared" si="0"/>
        <v>#REF!</v>
      </c>
    </row>
    <row r="4" spans="1:12" ht="96" hidden="1" x14ac:dyDescent="0.15">
      <c r="A4" s="46" t="str">
        <f>IF(ISBLANK(Metrics!D22),"-----",Metrics!D22)</f>
        <v>EriGaa</v>
      </c>
      <c r="B4" s="35"/>
      <c r="C4" s="35"/>
      <c r="D4" s="34" t="s">
        <v>50</v>
      </c>
      <c r="E4" s="34" t="s">
        <v>51</v>
      </c>
      <c r="F4" s="31" t="s">
        <v>51</v>
      </c>
      <c r="G4" s="34"/>
      <c r="H4" s="34" t="s">
        <v>6</v>
      </c>
      <c r="I4" s="31"/>
      <c r="J4" s="34"/>
      <c r="K4" s="34"/>
      <c r="L4" s="30" t="str">
        <f t="shared" si="0"/>
        <v>Erik Gaal</v>
      </c>
    </row>
    <row r="5" spans="1:12" ht="108" hidden="1" x14ac:dyDescent="0.15">
      <c r="A5" s="46" t="str">
        <f>IF(ISBLANK(Metrics!D23),"-----",Metrics!D23)</f>
        <v>BasFla</v>
      </c>
      <c r="B5" s="35"/>
      <c r="C5" s="35"/>
      <c r="D5" s="34"/>
      <c r="E5" s="34" t="s">
        <v>52</v>
      </c>
      <c r="F5" s="31" t="s">
        <v>52</v>
      </c>
      <c r="G5" s="34"/>
      <c r="H5" s="34" t="s">
        <v>53</v>
      </c>
      <c r="I5" s="31"/>
      <c r="J5" s="34"/>
      <c r="K5" s="34"/>
      <c r="L5" s="30" t="str">
        <f t="shared" si="0"/>
        <v>Bas Flaton</v>
      </c>
    </row>
    <row r="6" spans="1:12" hidden="1" x14ac:dyDescent="0.15">
      <c r="A6" s="46" t="str">
        <f>IF(ISBLANK(Metrics!D24),"-----",Metrics!D24)</f>
        <v>-----</v>
      </c>
      <c r="B6" s="35"/>
      <c r="C6" s="35"/>
      <c r="D6" s="34"/>
      <c r="E6" s="34" t="s">
        <v>54</v>
      </c>
      <c r="F6" s="31" t="s">
        <v>54</v>
      </c>
      <c r="G6" s="34"/>
      <c r="H6" s="34" t="s">
        <v>55</v>
      </c>
      <c r="I6" s="31"/>
      <c r="J6" s="34"/>
      <c r="K6" s="34"/>
      <c r="L6" s="30" t="e">
        <f t="shared" si="0"/>
        <v>#N/A</v>
      </c>
    </row>
    <row r="7" spans="1:12" hidden="1" x14ac:dyDescent="0.15">
      <c r="A7" s="46" t="str">
        <f>IF(ISBLANK(Metrics!D25),"-----",Metrics!D25)</f>
        <v>-----</v>
      </c>
      <c r="B7" s="35"/>
      <c r="C7" s="35"/>
      <c r="D7" s="34"/>
      <c r="E7" s="34" t="s">
        <v>56</v>
      </c>
      <c r="F7" s="31" t="s">
        <v>56</v>
      </c>
      <c r="G7" s="34"/>
      <c r="H7" s="34"/>
      <c r="I7" s="31"/>
      <c r="J7" s="34"/>
      <c r="K7" s="34"/>
      <c r="L7" s="30" t="e">
        <f t="shared" si="0"/>
        <v>#N/A</v>
      </c>
    </row>
    <row r="8" spans="1:12" hidden="1" x14ac:dyDescent="0.15">
      <c r="A8" s="46" t="str">
        <f>IF(ISBLANK(Metrics!D26),"-----",Metrics!D26)</f>
        <v>-----</v>
      </c>
      <c r="B8" s="35"/>
      <c r="C8" s="35"/>
      <c r="D8" s="34"/>
      <c r="E8" s="34" t="s">
        <v>57</v>
      </c>
      <c r="F8" s="31" t="s">
        <v>58</v>
      </c>
      <c r="G8" s="34"/>
      <c r="H8" s="34"/>
      <c r="I8" s="31"/>
      <c r="J8" s="34"/>
      <c r="K8" s="34"/>
      <c r="L8" s="30" t="e">
        <f t="shared" si="0"/>
        <v>#N/A</v>
      </c>
    </row>
    <row r="9" spans="1:12" hidden="1" x14ac:dyDescent="0.15">
      <c r="A9" s="46" t="str">
        <f>IF(ISBLANK(Metrics!D27),"-----",Metrics!D27)</f>
        <v>-----</v>
      </c>
      <c r="B9" s="35"/>
      <c r="C9" s="35"/>
      <c r="D9" s="34"/>
      <c r="E9" s="34" t="s">
        <v>59</v>
      </c>
      <c r="F9" s="31" t="s">
        <v>60</v>
      </c>
      <c r="G9" s="34"/>
      <c r="H9" s="34"/>
      <c r="I9" s="31"/>
      <c r="J9" s="34"/>
      <c r="K9" s="34"/>
      <c r="L9" s="30" t="e">
        <f t="shared" si="0"/>
        <v>#N/A</v>
      </c>
    </row>
    <row r="10" spans="1:12" hidden="1" x14ac:dyDescent="0.15">
      <c r="A10" s="46" t="str">
        <f>IF(ISBLANK(Metrics!D28),"-----",Metrics!D28)</f>
        <v>-----</v>
      </c>
      <c r="B10" s="35"/>
      <c r="C10" s="35"/>
      <c r="D10" s="34"/>
      <c r="E10" s="34" t="s">
        <v>61</v>
      </c>
      <c r="F10" s="31" t="s">
        <v>61</v>
      </c>
      <c r="G10" s="34"/>
      <c r="H10" s="34"/>
      <c r="I10" s="31"/>
      <c r="J10" s="34"/>
      <c r="K10" s="34"/>
      <c r="L10" s="30" t="e">
        <f t="shared" si="0"/>
        <v>#N/A</v>
      </c>
    </row>
    <row r="11" spans="1:12" hidden="1" x14ac:dyDescent="0.15">
      <c r="A11" s="46" t="str">
        <f>IF(ISBLANK(Metrics!D29),"-----",Metrics!D29)</f>
        <v>-----</v>
      </c>
      <c r="B11" s="35"/>
      <c r="C11" s="35"/>
      <c r="D11" s="34"/>
      <c r="E11" s="34" t="s">
        <v>62</v>
      </c>
      <c r="F11" s="31" t="s">
        <v>62</v>
      </c>
      <c r="G11" s="34"/>
      <c r="H11" s="34"/>
      <c r="I11" s="31"/>
      <c r="J11" s="34"/>
      <c r="K11" s="34"/>
      <c r="L11" s="30" t="e">
        <f t="shared" si="0"/>
        <v>#N/A</v>
      </c>
    </row>
    <row r="12" spans="1:12" hidden="1" x14ac:dyDescent="0.15">
      <c r="A12" s="46" t="str">
        <f>IF(ISBLANK(Metrics!D30),"-----",Metrics!D30)</f>
        <v>-----</v>
      </c>
      <c r="B12" s="35"/>
      <c r="C12" s="35"/>
      <c r="D12" s="34"/>
      <c r="E12" s="34" t="s">
        <v>63</v>
      </c>
      <c r="F12" s="31" t="s">
        <v>64</v>
      </c>
      <c r="G12" s="34"/>
      <c r="H12" s="34"/>
      <c r="I12" s="31"/>
      <c r="J12" s="34"/>
      <c r="K12" s="34"/>
      <c r="L12" s="30" t="e">
        <f t="shared" si="0"/>
        <v>#N/A</v>
      </c>
    </row>
    <row r="13" spans="1:12" hidden="1" x14ac:dyDescent="0.15">
      <c r="A13" s="46" t="str">
        <f>IF(ISBLANK(Metrics!D31),"-----",Metrics!D31)</f>
        <v>-----</v>
      </c>
      <c r="B13" s="35"/>
      <c r="C13" s="35"/>
      <c r="D13" s="34"/>
      <c r="E13" s="34" t="s">
        <v>65</v>
      </c>
      <c r="F13" s="31" t="s">
        <v>65</v>
      </c>
      <c r="G13" s="34"/>
      <c r="H13" s="34"/>
      <c r="I13" s="31"/>
      <c r="J13" s="34"/>
      <c r="K13" s="34"/>
      <c r="L13" s="30" t="e">
        <f t="shared" si="0"/>
        <v>#N/A</v>
      </c>
    </row>
    <row r="14" spans="1:12" hidden="1" x14ac:dyDescent="0.15">
      <c r="A14" s="46" t="str">
        <f>IF(ISBLANK(Metrics!D32),"-----",Metrics!D32)</f>
        <v>-----</v>
      </c>
      <c r="B14" s="35"/>
      <c r="C14" s="35"/>
      <c r="D14" s="34"/>
      <c r="E14" s="34" t="s">
        <v>66</v>
      </c>
      <c r="F14" s="31" t="s">
        <v>66</v>
      </c>
      <c r="G14" s="34"/>
      <c r="H14" s="34"/>
      <c r="I14" s="31"/>
      <c r="J14" s="34"/>
      <c r="K14" s="34"/>
      <c r="L14" s="30" t="e">
        <f t="shared" si="0"/>
        <v>#N/A</v>
      </c>
    </row>
    <row r="15" spans="1:12" hidden="1" x14ac:dyDescent="0.15">
      <c r="A15" s="46" t="str">
        <f>IF(ISBLANK(Metrics!D33),"-----",Metrics!D33)</f>
        <v>-----</v>
      </c>
      <c r="B15" s="35"/>
      <c r="C15" s="35"/>
      <c r="D15" s="34"/>
      <c r="E15" s="34"/>
      <c r="F15" s="31"/>
      <c r="G15" s="34"/>
      <c r="H15" s="34"/>
      <c r="I15" s="31"/>
      <c r="J15" s="34"/>
      <c r="K15" s="34"/>
      <c r="L15" s="30" t="e">
        <f t="shared" si="0"/>
        <v>#N/A</v>
      </c>
    </row>
    <row r="16" spans="1:12" hidden="1" x14ac:dyDescent="0.15">
      <c r="A16" s="46" t="str">
        <f>IF(ISBLANK(Metrics!D34),"-----",Metrics!D34)</f>
        <v>-----</v>
      </c>
      <c r="B16" s="35"/>
      <c r="C16" s="35"/>
      <c r="D16" s="34"/>
      <c r="E16" s="34"/>
      <c r="F16" s="31"/>
      <c r="G16" s="34"/>
      <c r="H16" s="34"/>
      <c r="I16" s="31"/>
      <c r="J16" s="34"/>
      <c r="K16" s="34"/>
      <c r="L16" s="30" t="e">
        <f t="shared" si="0"/>
        <v>#N/A</v>
      </c>
    </row>
    <row r="17" spans="1:12" hidden="1" x14ac:dyDescent="0.15">
      <c r="A17" s="46" t="str">
        <f>IF(ISBLANK(Metrics!D35),"-----",Metrics!D35)</f>
        <v>-----</v>
      </c>
      <c r="B17" s="35"/>
      <c r="C17" s="35"/>
      <c r="D17" s="34"/>
      <c r="E17" s="34"/>
      <c r="F17" s="31"/>
      <c r="G17" s="34"/>
      <c r="H17" s="34"/>
      <c r="I17" s="31"/>
      <c r="J17" s="34"/>
      <c r="K17" s="34"/>
      <c r="L17" s="30" t="e">
        <f t="shared" si="0"/>
        <v>#N/A</v>
      </c>
    </row>
    <row r="18" spans="1:12" hidden="1" x14ac:dyDescent="0.15">
      <c r="A18" s="46" t="str">
        <f>IF(ISBLANK(Metrics!D36),"-----",Metrics!D36)</f>
        <v>-----</v>
      </c>
      <c r="B18" s="35"/>
      <c r="C18" s="35"/>
      <c r="D18" s="34"/>
      <c r="E18" s="34"/>
      <c r="F18" s="31"/>
      <c r="G18" s="34"/>
      <c r="H18" s="34"/>
      <c r="I18" s="31"/>
      <c r="J18" s="34"/>
      <c r="K18" s="34"/>
      <c r="L18" s="30" t="e">
        <f t="shared" si="0"/>
        <v>#N/A</v>
      </c>
    </row>
    <row r="19" spans="1:12" ht="13.5" hidden="1" customHeight="1" x14ac:dyDescent="0.15">
      <c r="A19" s="46" t="e">
        <f>(IF(ISBLANK(Metrics!D37),"-----",Metrics!D37))+0</f>
        <v>#VALUE!</v>
      </c>
      <c r="B19" s="35"/>
      <c r="C19" s="35"/>
      <c r="D19" s="34"/>
      <c r="E19" s="34"/>
      <c r="F19" s="31"/>
      <c r="G19" s="34"/>
      <c r="H19" s="34"/>
      <c r="I19" s="31"/>
      <c r="J19" s="34"/>
      <c r="K19" s="34"/>
      <c r="L19" s="30" t="e">
        <f t="shared" si="0"/>
        <v>#VALUE!</v>
      </c>
    </row>
    <row r="20" spans="1:12" ht="13.5" hidden="1" customHeight="1" x14ac:dyDescent="0.15">
      <c r="A20" s="46" t="e">
        <f>(IF(ISBLANK(Metrics!D38),"-----",Metrics!D38))+0</f>
        <v>#VALUE!</v>
      </c>
      <c r="B20" s="35">
        <v>0</v>
      </c>
      <c r="C20" s="35"/>
      <c r="D20" s="34"/>
      <c r="E20" s="34"/>
      <c r="F20" s="31"/>
      <c r="G20" s="34"/>
      <c r="H20" s="34"/>
      <c r="I20" s="31"/>
      <c r="J20" s="34"/>
      <c r="K20" s="34"/>
      <c r="L20" s="30" t="e">
        <f t="shared" si="0"/>
        <v>#VALUE!</v>
      </c>
    </row>
    <row r="21" spans="1:12" s="33" customFormat="1" ht="15.75" customHeight="1" x14ac:dyDescent="0.15">
      <c r="A21" s="48"/>
      <c r="B21" s="48"/>
      <c r="C21" s="48"/>
      <c r="D21" s="48"/>
      <c r="E21" s="48"/>
      <c r="F21" s="48"/>
      <c r="G21" s="83" t="s">
        <v>67</v>
      </c>
      <c r="H21" s="84"/>
      <c r="I21" s="48"/>
      <c r="J21" s="48"/>
      <c r="K21" s="49"/>
      <c r="L21" s="30" t="e">
        <f>VLOOKUP(G21,NameLookup,2,FALSE)</f>
        <v>#N/A</v>
      </c>
    </row>
    <row r="22" spans="1:12" ht="13.5" customHeight="1" x14ac:dyDescent="0.15">
      <c r="A22" s="50" t="str">
        <f>(Metrics!A9)</f>
        <v>Project Name</v>
      </c>
      <c r="B22" s="51"/>
      <c r="C22" s="56" t="str">
        <f>(Metrics!E9)</f>
        <v>CommLib Android</v>
      </c>
      <c r="D22" s="52"/>
      <c r="E22" s="52"/>
      <c r="F22" s="32"/>
      <c r="G22" s="54" t="s">
        <v>18</v>
      </c>
      <c r="H22" s="51"/>
      <c r="I22" s="47" t="str">
        <f>Title</f>
        <v>JaiVis-20161122-02V01</v>
      </c>
      <c r="J22" s="47"/>
      <c r="K22" s="47"/>
      <c r="L22" s="30" t="e">
        <f t="shared" si="0"/>
        <v>#N/A</v>
      </c>
    </row>
    <row r="23" spans="1:12" ht="13.5" customHeight="1" x14ac:dyDescent="0.15">
      <c r="A23" s="50" t="str">
        <f>(Metrics!A10)</f>
        <v>Review ID</v>
      </c>
      <c r="B23" s="51"/>
      <c r="C23" s="56">
        <f>(Metrics!E10)</f>
        <v>0</v>
      </c>
      <c r="D23" s="52"/>
      <c r="E23" s="52"/>
      <c r="F23" s="32"/>
      <c r="G23" s="54" t="s">
        <v>20</v>
      </c>
      <c r="H23" s="51"/>
      <c r="I23" s="47" t="str">
        <f>DocId</f>
        <v>Configuration Items CommLib Android</v>
      </c>
      <c r="J23" s="47"/>
      <c r="K23" s="47"/>
      <c r="L23" s="30" t="e">
        <f t="shared" si="0"/>
        <v>#N/A</v>
      </c>
    </row>
    <row r="24" spans="1:12" ht="13.5" customHeight="1" x14ac:dyDescent="0.15">
      <c r="A24" s="50" t="str">
        <f>(Metrics!A11)</f>
        <v>Moderator</v>
      </c>
      <c r="B24" s="51"/>
      <c r="C24" s="56" t="s">
        <v>84</v>
      </c>
      <c r="D24" s="52"/>
      <c r="E24" s="52"/>
      <c r="F24" s="32"/>
      <c r="G24" s="54" t="s">
        <v>79</v>
      </c>
      <c r="H24" s="51"/>
      <c r="I24" s="47" t="s">
        <v>92</v>
      </c>
      <c r="J24" s="47"/>
      <c r="K24" s="47"/>
      <c r="L24" s="30" t="e">
        <f t="shared" si="0"/>
        <v>#N/A</v>
      </c>
    </row>
    <row r="25" spans="1:12" ht="13.5" customHeight="1" x14ac:dyDescent="0.15">
      <c r="A25" s="50" t="str">
        <f>(Metrics!A12)</f>
        <v>Author</v>
      </c>
      <c r="B25" s="51"/>
      <c r="C25" s="56" t="str">
        <f>(Metrics!E12)</f>
        <v>Jaime Visser</v>
      </c>
      <c r="D25" s="52"/>
      <c r="E25" s="52"/>
      <c r="F25" s="32"/>
      <c r="G25" s="54" t="s">
        <v>23</v>
      </c>
      <c r="H25" s="51"/>
      <c r="I25" s="47" t="str">
        <f>Author</f>
        <v>Configuration Items</v>
      </c>
      <c r="J25" s="47"/>
      <c r="K25" s="47"/>
      <c r="L25" s="30" t="e">
        <f t="shared" si="0"/>
        <v>#N/A</v>
      </c>
    </row>
    <row r="26" spans="1:12" s="40" customFormat="1" ht="24" x14ac:dyDescent="0.15">
      <c r="A26" s="53" t="s">
        <v>68</v>
      </c>
      <c r="B26" s="53" t="s">
        <v>69</v>
      </c>
      <c r="C26" s="53" t="s">
        <v>70</v>
      </c>
      <c r="D26" s="53" t="s">
        <v>71</v>
      </c>
      <c r="E26" s="53" t="s">
        <v>72</v>
      </c>
      <c r="F26" s="53" t="s">
        <v>73</v>
      </c>
      <c r="G26" s="53" t="s">
        <v>74</v>
      </c>
      <c r="H26" s="53" t="s">
        <v>75</v>
      </c>
      <c r="I26" s="53" t="s">
        <v>76</v>
      </c>
      <c r="J26" s="53" t="s">
        <v>77</v>
      </c>
      <c r="K26" s="53" t="s">
        <v>78</v>
      </c>
      <c r="L26" s="39" t="e">
        <f t="shared" si="0"/>
        <v>#N/A</v>
      </c>
    </row>
    <row r="27" spans="1:12" x14ac:dyDescent="0.15">
      <c r="A27" s="33" t="s">
        <v>83</v>
      </c>
      <c r="F27" s="30" t="s">
        <v>96</v>
      </c>
    </row>
    <row r="28" spans="1:12" ht="24" x14ac:dyDescent="0.15">
      <c r="A28" s="33" t="s">
        <v>97</v>
      </c>
      <c r="B28" s="36" t="s">
        <v>100</v>
      </c>
      <c r="D28" s="33" t="s">
        <v>45</v>
      </c>
      <c r="F28" s="30" t="s">
        <v>102</v>
      </c>
      <c r="G28" s="33" t="s">
        <v>14</v>
      </c>
      <c r="H28" s="33" t="s">
        <v>45</v>
      </c>
      <c r="I28" s="30" t="s">
        <v>103</v>
      </c>
    </row>
    <row r="29" spans="1:12" ht="24" x14ac:dyDescent="0.15">
      <c r="A29" s="33" t="s">
        <v>87</v>
      </c>
      <c r="F29" s="30" t="s">
        <v>101</v>
      </c>
    </row>
  </sheetData>
  <mergeCells count="1">
    <mergeCell ref="G21:H21"/>
  </mergeCells>
  <phoneticPr fontId="0" type="noConversion"/>
  <dataValidations count="6">
    <dataValidation type="list" allowBlank="1" showInputMessage="1" showErrorMessage="1" sqref="G27:G301">
      <formula1>$G$1:$G$2</formula1>
    </dataValidation>
    <dataValidation type="list" allowBlank="1" showInputMessage="1" showErrorMessage="1" sqref="K27:K301">
      <formula1>$K$1:$K$2</formula1>
    </dataValidation>
    <dataValidation type="list" allowBlank="1" showInputMessage="1" showErrorMessage="1" sqref="A509:A1001 A27:A301">
      <formula1>$A$1:$A$20</formula1>
    </dataValidation>
    <dataValidation type="list" allowBlank="1" showInputMessage="1" showErrorMessage="1" sqref="D27:D65537">
      <formula1>$D$1:$D$4</formula1>
    </dataValidation>
    <dataValidation type="list" allowBlank="1" showInputMessage="1" showErrorMessage="1" sqref="H27:H301">
      <formula1>$H$1:$H$6</formula1>
    </dataValidation>
    <dataValidation type="list" allowBlank="1" showInputMessage="1" showErrorMessage="1" sqref="E27:E38">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444500</xdr:colOff>
                    <xdr:row>20</xdr:row>
                    <xdr:rowOff>25400</xdr:rowOff>
                  </from>
                  <to>
                    <xdr:col>5</xdr:col>
                    <xdr:colOff>736600</xdr:colOff>
                    <xdr:row>21</xdr:row>
                    <xdr:rowOff>0</xdr:rowOff>
                  </to>
                </anchor>
              </controlPr>
            </control>
          </mc:Choice>
          <mc:Fallback/>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749300</xdr:colOff>
                    <xdr:row>20</xdr:row>
                    <xdr:rowOff>25400</xdr:rowOff>
                  </from>
                  <to>
                    <xdr:col>5</xdr:col>
                    <xdr:colOff>2082800</xdr:colOff>
                    <xdr:row>21</xdr:row>
                    <xdr:rowOff>0</xdr:rowOff>
                  </to>
                </anchor>
              </controlPr>
            </control>
          </mc:Choice>
          <mc:Fallback/>
        </mc:AlternateContent>
      </controls>
    </mc:Choice>
    <mc:Fallback/>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3.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90F3F0-6397-46FF-BD63-1222E05C1126}">
  <ds:schemaRefs>
    <ds:schemaRef ds:uri="office.server.policy"/>
  </ds:schemaRefs>
</ds:datastoreItem>
</file>

<file path=customXml/itemProps3.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F38D5646-71B5-432A-850E-C98F5F4930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Metrics</vt:lpstr>
      <vt:lpstr>Logging</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Microsoft Office User</cp:lastModifiedBy>
  <cp:lastPrinted>2004-08-02T09:06:11Z</cp:lastPrinted>
  <dcterms:created xsi:type="dcterms:W3CDTF">2001-05-17T11:36:21Z</dcterms:created>
  <dcterms:modified xsi:type="dcterms:W3CDTF">2016-12-21T07:58:30Z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true</vt:bool>
  </property>
  <property fmtid="{D5CDD505-2E9C-101B-9397-08002B2CF9AE}" pid="7" name="xd_ProgID">
    <vt:lpwstr/>
  </property>
  <property fmtid="{D5CDD505-2E9C-101B-9397-08002B2CF9AE}" pid="8" name="TemplateUrl">
    <vt:lpwstr/>
  </property>
</Properties>
</file>